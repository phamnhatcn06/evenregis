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DAI HOI MUONG THANH 2026\02. BAN THE THAO\Giai Chay\Gemini\"/>
    </mc:Choice>
  </mc:AlternateContent>
  <xr:revisionPtr revIDLastSave="0" documentId="13_ncr:1_{BC8A83BE-2799-4800-A60C-DC99885EFBF2}" xr6:coauthVersionLast="47" xr6:coauthVersionMax="47" xr10:uidLastSave="{00000000-0000-0000-0000-000000000000}"/>
  <bookViews>
    <workbookView xWindow="-108" yWindow="-108" windowWidth="23256" windowHeight="12576" xr2:uid="{BE063979-A36D-4639-ACD7-1A7B4F778CC1}"/>
  </bookViews>
  <sheets>
    <sheet name="Timline" sheetId="1" r:id="rId1"/>
  </sheets>
  <definedNames>
    <definedName name="_xlnm.Print_Titles" localSheetId="0">Timline!$5:$5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</calcChain>
</file>

<file path=xl/sharedStrings.xml><?xml version="1.0" encoding="utf-8"?>
<sst xmlns="http://schemas.openxmlformats.org/spreadsheetml/2006/main" count="107" uniqueCount="99">
  <si>
    <t>TẬP ĐOÀN MƯỜNG THANH - ĐẠI HỘI MƯỜNG THANH 2026</t>
  </si>
  <si>
    <t>Giải chạy Mường Thanh Fun Run - Đại hội Mường Thanh 2026 (Ngày 28/10/2026 tại Tràng An Golf &amp; Resort)</t>
  </si>
  <si>
    <t>STT</t>
  </si>
  <si>
    <t>Khung giờ</t>
  </si>
  <si>
    <t>Hạng mục / Nội dung công việc</t>
  </si>
  <si>
    <t>Nội dung chi tiết vận hành</t>
  </si>
  <si>
    <t>Nhân sự (SL)</t>
  </si>
  <si>
    <t>Địa điểm</t>
  </si>
  <si>
    <t>Ghi chú / Tiêu chuẩn</t>
  </si>
  <si>
    <t>04h30 - 05h00</t>
  </si>
  <si>
    <t>Setup hiện trường sớm</t>
  </si>
  <si>
    <t xml:space="preserve">Kiểm tra nguồn điện, âm thanh, ánh sáng, cổng hơi Start/Finish, huy chương, cờ lưu niệm, linh vật, nước, y tế, rào chắn,….
Nhân sự các vị trí tiếp quản vị trí phụ trách;  phân phát bộ đàm </t>
  </si>
  <si>
    <t>Ban vận hành chạy (Mr. Tuấn, Mr. Long, Mr. Nhân, Mr. Nhất, Mr. Hoàng, Mr. Vũ Thắng);
 Ban Sự kiện</t>
  </si>
  <si>
    <t>Khu vực Start/Finish; Các điểm Trạm</t>
  </si>
  <si>
    <t>Đảm bảo kỹ thuật hoạt động thông suốt, đầy đủ các CCDC</t>
  </si>
  <si>
    <t>05h00 - 05h45</t>
  </si>
  <si>
    <t>Tập trung &amp; Di chuyển đoàn</t>
  </si>
  <si>
    <t>Điểm danh CBNV các đoàn VĐV tại sảnh khách sạn lên xe di chuyển đến Tràng An Golf &amp; Resort.</t>
  </si>
  <si>
    <t>Lưu Quốc Việt
Đỗ Thị Thanh Huyền
Hoàng Thị Huyền Trang</t>
  </si>
  <si>
    <t>Sảnh khách sạn -&gt; Tràng An Golf</t>
  </si>
  <si>
    <t>Khởi hành đúng 05h00</t>
  </si>
  <si>
    <t>05h45 - 06h00</t>
  </si>
  <si>
    <t>Tập trung &amp; Ổn định tổ chức</t>
  </si>
  <si>
    <t>Đoàn đến nơi; điểm danh; ổn định VĐV tại khu vực trước sân khấu.</t>
  </si>
  <si>
    <t>Vũ Minh Tuấn
Nguyễn Tuấn Long</t>
  </si>
  <si>
    <t>Khu vực trước sân khấu</t>
  </si>
  <si>
    <t>Ổn định đội hình các đoàn</t>
  </si>
  <si>
    <t>06h00 - 06h30</t>
  </si>
  <si>
    <t>Khai mạc &amp; Phổ biến thể lệ</t>
  </si>
  <si>
    <t>Phát biểu khai mạc ngắn gọn của TGĐ; công bố thể lệ, quy định chung, đường chạy, mốc cutoff, hotline; khởi động chung.</t>
  </si>
  <si>
    <t>TGĐ, Ban Sự kiện (MC, PT)</t>
  </si>
  <si>
    <t>Sân khấu chính / Cổng Start</t>
  </si>
  <si>
    <t>Tạo khí thế sôi nổi, đoàn kết</t>
  </si>
  <si>
    <t>06h30</t>
  </si>
  <si>
    <t>Xuất phát cự ly 15km &amp; 10km</t>
  </si>
  <si>
    <t>Điều phối và Lệnh xuất phát cự ly 15 km (3 vòng hồ Đồng Chương).</t>
  </si>
  <si>
    <t>MC, Nguyễn Tuấn Long</t>
  </si>
  <si>
    <t>Vạch Start</t>
  </si>
  <si>
    <t>Xuất phát an toàn, đúng giờ</t>
  </si>
  <si>
    <t>06h35</t>
  </si>
  <si>
    <t>Xuất phát cự ly 5km Nam</t>
  </si>
  <si>
    <t>Điều phối và Lệnh xuất phát cự ly 5 km Nam (1 vòng hồ Đồng Chương).</t>
  </si>
  <si>
    <t>Giãn cách đúng lộ trình</t>
  </si>
  <si>
    <t>06h40</t>
  </si>
  <si>
    <t>Xuất phát cự ly 5km Nữ</t>
  </si>
  <si>
    <t>Điều phối và Lệnh xuất phát cự ly 5 km Nữ (1 vòng hồ Đồng Chương).</t>
  </si>
  <si>
    <t>Hoàn tất các đợt xuất phát</t>
  </si>
  <si>
    <t>06h30 - 09h30</t>
  </si>
  <si>
    <t>Điều hành giao thông luồng chạy &amp; Chốt nút giao</t>
  </si>
  <si>
    <t>Kích hoạt chốt mềm/cứng tại các nút giao; phối hợp các bên để giữ làn cho runner, đảm bảo VĐV chạy đúng hướng/đường chạy
Tiếp nhận và báo thông tin tình trạng VĐV (bỏ cuộc, cần hỗ trợ y tế,…) về BTC; thu Bib của VĐV bỏ cuộc gần vị trí mình nhất</t>
  </si>
  <si>
    <t>Lê Hoàng
Nguyễn Duy Hoạt
Phạm Minh Hiếu
Trần Đình Thông</t>
  </si>
  <si>
    <t>Dọc tuyến đường hồ Đồng Chương</t>
  </si>
  <si>
    <t>Đảm bảo tuyệt đối an toàn giao thông</t>
  </si>
  <si>
    <t>06h45 - 09h30</t>
  </si>
  <si>
    <t>Vận hành Trạm kiểm soát vòng chạy</t>
  </si>
  <si>
    <t>Xác nhận số vòng hoàn thành: Cự ly 10km (1 vòng đeo tay - vòng 2); Cự ly 15km (2 vòng đeo tay - vòng 2, 3) trước khi về đích.</t>
  </si>
  <si>
    <t>Phạm Văn Nhất
Nguyễn Thu Mai
Nguyễn Thái Mỹ</t>
  </si>
  <si>
    <t>Trạm kiểm soát vòng chạy</t>
  </si>
  <si>
    <t>VĐV thiếu dấu không công nhận kết quả</t>
  </si>
  <si>
    <t>Vận hành Trạm Tiếp nước &amp; trạm Y tế</t>
  </si>
  <si>
    <t>Cấp nước/điện giải tại km số 2,3 &amp; 4,1 (tối đa 1 lần/vòng); 
Trực y tế sẵn sàng sơ cứu, hỗ trợ VĐV.</t>
  </si>
  <si>
    <t>Hoàng Thanh Hải
Đào Minh Anh
BS. Bùi Sỹ Tư
BS. Võ Thị Mai Anh
BS. Quang Tuấn Anh</t>
  </si>
  <si>
    <t>Km số 9 &amp; Khu vực trung tâm</t>
  </si>
  <si>
    <t>Cung cấp tiếp tế và hỗ trợ y tế kịp thời</t>
  </si>
  <si>
    <t>07h15 - 09h30</t>
  </si>
  <si>
    <t>Kiểm soát về đích từng cự ly</t>
  </si>
  <si>
    <t>Phân loại, ghi nhận thời gian và kiểm tra điều kiện về đích theo từng cự ly &amp; nhóm tuổi (Xác định chính xác Nhất/Nhiif/Ba từng nhóm giải)</t>
  </si>
  <si>
    <t>Nguyễn Huy Nhân
Võ Thị Mai Trang
Vũ Chiến Thắng</t>
  </si>
  <si>
    <t>Vạch Finish</t>
  </si>
  <si>
    <t>Đối soát chính xác theo điều lệ</t>
  </si>
  <si>
    <t>Về đích &amp; Trao huy chương Finisher</t>
  </si>
  <si>
    <t>Chào đón các VĐV về đích, Kiểm tra thời gian Cut-off; Hỗ trợ BLĐ trao huy chương cho VĐV.</t>
  </si>
  <si>
    <t>Tạ Diệp Anh
Phạm Thị Thu Thủy
Hoàng Kim Chính</t>
  </si>
  <si>
    <t>Khu vực Finish</t>
  </si>
  <si>
    <t>Trao ngay khi VĐV về đích thành công
(Trao trên sân khấu)</t>
  </si>
  <si>
    <t>Tổng hợp kết quả &amp; Xử lý số liệu</t>
  </si>
  <si>
    <t>Phạm Hà An</t>
  </si>
  <si>
    <t>Khuc vực điều hành / Bàn thư ký</t>
  </si>
  <si>
    <t>Chính xác, minh bạch</t>
  </si>
  <si>
    <t>09h30 - 09h45</t>
  </si>
  <si>
    <t>Lễ Trao giải cá nhân</t>
  </si>
  <si>
    <t>Công bố kết quả chính thức và trao 24 giải cá nhân (Nhất, Nhì, Ba cho 8 nhóm thi đấu).</t>
  </si>
  <si>
    <t>MC, Ban KTKL &amp; BLĐ</t>
  </si>
  <si>
    <t>Sân khấu chính</t>
  </si>
  <si>
    <t>Vinh danh VĐV đạt thành tích</t>
  </si>
  <si>
    <t>09h30 - 10h00</t>
  </si>
  <si>
    <t>Thu hồi thiết bị &amp; Mở lại giao thông</t>
  </si>
  <si>
    <t>Toàn bộ cung đường chạy</t>
  </si>
  <si>
    <t>10h00 - 11h00</t>
  </si>
  <si>
    <t>Di chuyển đoàn về khách sạn</t>
  </si>
  <si>
    <t>Điểm danh CBNV lên xe di chuyển về lại khách sạn nghỉ ngơi, kết thúc tốt đẹp giải chạy.</t>
  </si>
  <si>
    <t>Bãi đỗ xe Tràng An -&gt; Khách sạn</t>
  </si>
  <si>
    <t>Có xe cho VĐV kết thúc sớm về trước
Hoàn thành lịch trình an toàn</t>
  </si>
  <si>
    <t>AGENDA GIẢI CHẠY</t>
  </si>
  <si>
    <t>Phụ trách</t>
  </si>
  <si>
    <t>Thống kê số lượng VĐV có mặt, VĐV finish
Tổng hợp kết quả tạm thời, xử lý khiếu nại hoặc sai lệch dữ liệu.</t>
  </si>
  <si>
    <t>Mr. Cương &amp; Team Điều hướng &amp; Hậu cần</t>
  </si>
  <si>
    <t>Thu hồi toàn bộ các CCDC mang về</t>
  </si>
  <si>
    <t>Thu hồi standee, biển báo, rác; xác nhận hết VĐV trên tuyến; phối hợp mở lại giao thông bình thường.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</si>
</sst>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1B365D"/>
      <name val="Arial Narrow"/>
      <family val="2"/>
    </font>
    <font>
      <sz val="11"/>
      <color theme="1"/>
      <name val="Arial Narrow"/>
      <family val="2"/>
    </font>
    <font>
      <sz val="12"/>
      <color theme="1"/>
      <name val="Arial Narrow"/>
      <family val="2"/>
    </font>
    <font>
      <sz val="12"/>
      <color rgb="FF555555"/>
      <name val="Arial Narrow"/>
      <family val="2"/>
    </font>
    <font>
      <b/>
      <sz val="11"/>
      <color rgb="FFFFFFFF"/>
      <name val="Arial Narrow"/>
      <family val="2"/>
    </font>
    <font>
      <sz val="10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rgb="FFD9D9D9"/>
      </right>
      <top style="medium">
        <color indexed="64"/>
      </top>
      <bottom style="medium">
        <color rgb="FF1B365D"/>
      </bottom>
      <diagonal/>
    </border>
    <border>
      <left style="thin">
        <color rgb="FFD9D9D9"/>
      </left>
      <right style="thin">
        <color rgb="FFD9D9D9"/>
      </right>
      <top style="medium">
        <color indexed="64"/>
      </top>
      <bottom style="medium">
        <color rgb="FF1B365D"/>
      </bottom>
      <diagonal/>
    </border>
    <border>
      <left style="thin">
        <color rgb="FFD9D9D9"/>
      </left>
      <right style="medium">
        <color indexed="64"/>
      </right>
      <top style="medium">
        <color indexed="64"/>
      </top>
      <bottom style="medium">
        <color rgb="FF1B365D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indexed="64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medium">
        <color indexed="64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thin">
        <color rgb="FFD9D9D9"/>
      </left>
      <right style="medium">
        <color indexed="64"/>
      </right>
      <top style="thin">
        <color rgb="FFD9D9D9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applyFont="1"/>
    <xf numFmtId="0" fontId="4" fillId="0" borderId="0" xfId="0" applyFont="1" applyAlignment="1">
      <alignment horizontal="centerContinuous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5" xfId="0" applyFont="1" applyBorder="1"/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 wrapText="1"/>
    </xf>
    <xf numFmtId="0" fontId="2" fillId="0" borderId="9" xfId="0" applyFont="1" applyBorder="1"/>
    <xf numFmtId="0" fontId="2" fillId="0" borderId="10" xfId="0" applyFont="1" applyBorder="1"/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38E37-103C-46F3-ABD3-88D017CC638A}">
  <sheetPr>
    <tabColor rgb="FFFF0000"/>
    <pageSetUpPr fitToPage="1"/>
  </sheetPr>
  <dimension ref="A1:H22"/>
  <sheetViews>
    <sheetView tabSelected="1" topLeftCell="A16" zoomScaleNormal="100" workbookViewId="0">
      <selection activeCell="D20" sqref="D20"/>
    </sheetView>
  </sheetViews>
  <sheetFormatPr defaultRowHeight="13.8" x14ac:dyDescent="0.25"/>
  <cols>
    <col min="1" max="1" width="8" style="2" customWidth="1"/>
    <col min="2" max="2" width="18" style="2" customWidth="1"/>
    <col min="3" max="3" width="30" style="2" customWidth="1"/>
    <col min="4" max="4" width="45" style="2" customWidth="1"/>
    <col min="5" max="5" width="32" style="2" customWidth="1"/>
    <col min="6" max="6" width="14" style="2" hidden="1" customWidth="1"/>
    <col min="7" max="7" width="25" style="2" customWidth="1"/>
    <col min="8" max="8" width="28" style="2" customWidth="1"/>
    <col min="9" max="16384" width="8.88671875" style="2"/>
  </cols>
  <sheetData>
    <row r="1" spans="1:8" ht="15.6" x14ac:dyDescent="0.3">
      <c r="A1" s="1" t="s">
        <v>0</v>
      </c>
    </row>
    <row r="2" spans="1:8" s="5" customFormat="1" ht="15.6" customHeight="1" x14ac:dyDescent="0.3">
      <c r="A2" s="3" t="s">
        <v>93</v>
      </c>
      <c r="B2" s="4"/>
      <c r="C2" s="4"/>
      <c r="D2" s="4"/>
      <c r="E2" s="4"/>
      <c r="F2" s="4"/>
      <c r="G2" s="4"/>
      <c r="H2" s="4"/>
    </row>
    <row r="3" spans="1:8" s="5" customFormat="1" ht="15.6" customHeight="1" x14ac:dyDescent="0.3">
      <c r="A3" s="6" t="s">
        <v>1</v>
      </c>
      <c r="B3" s="4"/>
      <c r="C3" s="4"/>
      <c r="D3" s="4"/>
      <c r="E3" s="4"/>
      <c r="F3" s="4"/>
      <c r="G3" s="4"/>
      <c r="H3" s="4"/>
    </row>
    <row r="4" spans="1:8" ht="14.4" thickBot="1" x14ac:dyDescent="0.3"/>
    <row r="5" spans="1:8" ht="27.6" customHeight="1" thickBot="1" x14ac:dyDescent="0.3">
      <c r="A5" s="7" t="s">
        <v>2</v>
      </c>
      <c r="B5" s="8" t="s">
        <v>3</v>
      </c>
      <c r="C5" s="8" t="s">
        <v>4</v>
      </c>
      <c r="D5" s="8" t="s">
        <v>5</v>
      </c>
      <c r="E5" s="8" t="s">
        <v>94</v>
      </c>
      <c r="F5" s="8" t="s">
        <v>6</v>
      </c>
      <c r="G5" s="8" t="s">
        <v>7</v>
      </c>
      <c r="H5" s="9" t="s">
        <v>8</v>
      </c>
    </row>
    <row r="6" spans="1:8" x14ac:dyDescent="0.25">
      <c r="A6" s="10"/>
      <c r="H6" s="11"/>
    </row>
    <row r="7" spans="1:8" ht="69" x14ac:dyDescent="0.25">
      <c r="A7" s="12">
        <v>1</v>
      </c>
      <c r="B7" s="13" t="s">
        <v>9</v>
      </c>
      <c r="C7" s="14" t="s">
        <v>10</v>
      </c>
      <c r="D7" s="14" t="s">
        <v>11</v>
      </c>
      <c r="E7" s="13" t="s">
        <v>12</v>
      </c>
      <c r="F7" s="13">
        <v>6</v>
      </c>
      <c r="G7" s="13" t="s">
        <v>13</v>
      </c>
      <c r="H7" s="15" t="s">
        <v>14</v>
      </c>
    </row>
    <row r="8" spans="1:8" ht="41.4" x14ac:dyDescent="0.25">
      <c r="A8" s="12">
        <f>A7+1</f>
        <v>2</v>
      </c>
      <c r="B8" s="13" t="s">
        <v>15</v>
      </c>
      <c r="C8" s="14" t="s">
        <v>16</v>
      </c>
      <c r="D8" s="14" t="s">
        <v>17</v>
      </c>
      <c r="E8" s="13" t="s">
        <v>18</v>
      </c>
      <c r="F8" s="13">
        <v>3</v>
      </c>
      <c r="G8" s="13" t="s">
        <v>19</v>
      </c>
      <c r="H8" s="15" t="s">
        <v>20</v>
      </c>
    </row>
    <row r="9" spans="1:8" ht="26.4" customHeight="1" x14ac:dyDescent="0.25">
      <c r="A9" s="12">
        <f t="shared" ref="A9:A22" si="0">A8+1</f>
        <v>3</v>
      </c>
      <c r="B9" s="13" t="s">
        <v>21</v>
      </c>
      <c r="C9" s="14" t="s">
        <v>22</v>
      </c>
      <c r="D9" s="14" t="s">
        <v>23</v>
      </c>
      <c r="E9" s="13" t="s">
        <v>24</v>
      </c>
      <c r="F9" s="13">
        <v>2</v>
      </c>
      <c r="G9" s="13" t="s">
        <v>25</v>
      </c>
      <c r="H9" s="15" t="s">
        <v>26</v>
      </c>
    </row>
    <row r="10" spans="1:8" ht="39.6" customHeight="1" x14ac:dyDescent="0.25">
      <c r="A10" s="12">
        <f t="shared" si="0"/>
        <v>4</v>
      </c>
      <c r="B10" s="13" t="s">
        <v>27</v>
      </c>
      <c r="C10" s="14" t="s">
        <v>28</v>
      </c>
      <c r="D10" s="14" t="s">
        <v>29</v>
      </c>
      <c r="E10" s="13" t="s">
        <v>30</v>
      </c>
      <c r="F10" s="13">
        <v>2</v>
      </c>
      <c r="G10" s="13" t="s">
        <v>31</v>
      </c>
      <c r="H10" s="15" t="s">
        <v>32</v>
      </c>
    </row>
    <row r="11" spans="1:8" ht="26.4" customHeight="1" x14ac:dyDescent="0.25">
      <c r="A11" s="12">
        <f t="shared" si="0"/>
        <v>5</v>
      </c>
      <c r="B11" s="13" t="s">
        <v>33</v>
      </c>
      <c r="C11" s="14" t="s">
        <v>34</v>
      </c>
      <c r="D11" s="14" t="s">
        <v>35</v>
      </c>
      <c r="E11" s="13" t="s">
        <v>36</v>
      </c>
      <c r="F11" s="16">
        <v>1</v>
      </c>
      <c r="G11" s="13" t="s">
        <v>37</v>
      </c>
      <c r="H11" s="15" t="s">
        <v>38</v>
      </c>
    </row>
    <row r="12" spans="1:8" ht="26.4" customHeight="1" x14ac:dyDescent="0.25">
      <c r="A12" s="12">
        <f t="shared" si="0"/>
        <v>6</v>
      </c>
      <c r="B12" s="13" t="s">
        <v>39</v>
      </c>
      <c r="C12" s="14" t="s">
        <v>40</v>
      </c>
      <c r="D12" s="14" t="s">
        <v>41</v>
      </c>
      <c r="E12" s="13" t="s">
        <v>36</v>
      </c>
      <c r="F12" s="17"/>
      <c r="G12" s="13" t="s">
        <v>37</v>
      </c>
      <c r="H12" s="15" t="s">
        <v>42</v>
      </c>
    </row>
    <row r="13" spans="1:8" ht="26.4" customHeight="1" x14ac:dyDescent="0.25">
      <c r="A13" s="12">
        <f t="shared" si="0"/>
        <v>7</v>
      </c>
      <c r="B13" s="13" t="s">
        <v>43</v>
      </c>
      <c r="C13" s="14" t="s">
        <v>44</v>
      </c>
      <c r="D13" s="14" t="s">
        <v>45</v>
      </c>
      <c r="E13" s="13" t="s">
        <v>36</v>
      </c>
      <c r="F13" s="18"/>
      <c r="G13" s="13" t="s">
        <v>37</v>
      </c>
      <c r="H13" s="15" t="s">
        <v>46</v>
      </c>
    </row>
    <row r="14" spans="1:8" ht="82.8" x14ac:dyDescent="0.25">
      <c r="A14" s="12">
        <f t="shared" si="0"/>
        <v>8</v>
      </c>
      <c r="B14" s="13" t="s">
        <v>47</v>
      </c>
      <c r="C14" s="14" t="s">
        <v>48</v>
      </c>
      <c r="D14" s="14" t="s">
        <v>49</v>
      </c>
      <c r="E14" s="13" t="s">
        <v>50</v>
      </c>
      <c r="F14" s="13">
        <v>4</v>
      </c>
      <c r="G14" s="13" t="s">
        <v>51</v>
      </c>
      <c r="H14" s="15" t="s">
        <v>52</v>
      </c>
    </row>
    <row r="15" spans="1:8" ht="41.4" x14ac:dyDescent="0.25">
      <c r="A15" s="12">
        <f t="shared" si="0"/>
        <v>9</v>
      </c>
      <c r="B15" s="13" t="s">
        <v>53</v>
      </c>
      <c r="C15" s="14" t="s">
        <v>54</v>
      </c>
      <c r="D15" s="14" t="s">
        <v>55</v>
      </c>
      <c r="E15" s="13" t="s">
        <v>56</v>
      </c>
      <c r="F15" s="13">
        <v>4</v>
      </c>
      <c r="G15" s="13" t="s">
        <v>57</v>
      </c>
      <c r="H15" s="15" t="s">
        <v>58</v>
      </c>
    </row>
    <row r="16" spans="1:8" ht="69" x14ac:dyDescent="0.25">
      <c r="A16" s="12">
        <f t="shared" si="0"/>
        <v>10</v>
      </c>
      <c r="B16" s="13" t="s">
        <v>53</v>
      </c>
      <c r="C16" s="14" t="s">
        <v>59</v>
      </c>
      <c r="D16" s="14" t="s">
        <v>60</v>
      </c>
      <c r="E16" s="13" t="s">
        <v>61</v>
      </c>
      <c r="F16" s="13">
        <v>5</v>
      </c>
      <c r="G16" s="13" t="s">
        <v>62</v>
      </c>
      <c r="H16" s="15" t="s">
        <v>63</v>
      </c>
    </row>
    <row r="17" spans="1:8" ht="41.4" x14ac:dyDescent="0.25">
      <c r="A17" s="12">
        <f t="shared" si="0"/>
        <v>11</v>
      </c>
      <c r="B17" s="13" t="s">
        <v>64</v>
      </c>
      <c r="C17" s="14" t="s">
        <v>65</v>
      </c>
      <c r="D17" s="14" t="s">
        <v>66</v>
      </c>
      <c r="E17" s="13" t="s">
        <v>67</v>
      </c>
      <c r="F17" s="13">
        <v>3</v>
      </c>
      <c r="G17" s="13" t="s">
        <v>68</v>
      </c>
      <c r="H17" s="15" t="s">
        <v>69</v>
      </c>
    </row>
    <row r="18" spans="1:8" ht="41.4" x14ac:dyDescent="0.25">
      <c r="A18" s="12">
        <f t="shared" si="0"/>
        <v>12</v>
      </c>
      <c r="B18" s="13" t="s">
        <v>64</v>
      </c>
      <c r="C18" s="14" t="s">
        <v>70</v>
      </c>
      <c r="D18" s="14" t="s">
        <v>71</v>
      </c>
      <c r="E18" s="13" t="s">
        <v>72</v>
      </c>
      <c r="F18" s="13">
        <v>3</v>
      </c>
      <c r="G18" s="13" t="s">
        <v>73</v>
      </c>
      <c r="H18" s="15" t="s">
        <v>74</v>
      </c>
    </row>
    <row r="19" spans="1:8" ht="41.4" x14ac:dyDescent="0.25">
      <c r="A19" s="12">
        <f t="shared" si="0"/>
        <v>13</v>
      </c>
      <c r="B19" s="13" t="s">
        <v>64</v>
      </c>
      <c r="C19" s="14" t="s">
        <v>75</v>
      </c>
      <c r="D19" s="14" t="s">
        <v>95</v>
      </c>
      <c r="E19" s="13" t="s">
        <v>76</v>
      </c>
      <c r="F19" s="13">
        <v>1</v>
      </c>
      <c r="G19" s="13" t="s">
        <v>77</v>
      </c>
      <c r="H19" s="15" t="s">
        <v>78</v>
      </c>
    </row>
    <row r="20" spans="1:8" ht="26.4" customHeight="1" x14ac:dyDescent="0.25">
      <c r="A20" s="12">
        <f t="shared" si="0"/>
        <v>14</v>
      </c>
      <c r="B20" s="13" t="s">
        <v>79</v>
      </c>
      <c r="C20" s="14" t="s">
        <v>80</v>
      </c>
      <c r="D20" s="14" t="s">
        <v>81</v>
      </c>
      <c r="E20" s="13" t="s">
        <v>82</v>
      </c>
      <c r="F20" s="13">
        <v>1</v>
      </c>
      <c r="G20" s="13" t="s">
        <v>83</v>
      </c>
      <c r="H20" s="15" t="s">
        <v>84</v>
      </c>
    </row>
    <row r="21" spans="1:8" ht="26.4" customHeight="1" x14ac:dyDescent="0.25">
      <c r="A21" s="12">
        <f t="shared" si="0"/>
        <v>15</v>
      </c>
      <c r="B21" s="13" t="s">
        <v>85</v>
      </c>
      <c r="C21" s="14" t="s">
        <v>86</v>
      </c>
      <c r="D21" s="14" t="s">
        <v>98</v>
      </c>
      <c r="E21" s="13" t="s">
        <v>96</v>
      </c>
      <c r="F21" s="13">
        <v>5</v>
      </c>
      <c r="G21" s="13" t="s">
        <v>87</v>
      </c>
      <c r="H21" s="15" t="s">
        <v>97</v>
      </c>
    </row>
    <row r="22" spans="1:8" ht="39.6" customHeight="1" thickBot="1" x14ac:dyDescent="0.3">
      <c r="A22" s="19">
        <f t="shared" si="0"/>
        <v>16</v>
      </c>
      <c r="B22" s="20" t="s">
        <v>88</v>
      </c>
      <c r="C22" s="21" t="s">
        <v>89</v>
      </c>
      <c r="D22" s="21" t="s">
        <v>90</v>
      </c>
      <c r="E22" s="20" t="s">
        <v>18</v>
      </c>
      <c r="F22" s="20">
        <v>3</v>
      </c>
      <c r="G22" s="20" t="s">
        <v>91</v>
      </c>
      <c r="H22" s="22" t="s">
        <v>92</v>
      </c>
    </row>
  </sheetData>
  <mergeCells count="1">
    <mergeCell ref="F11:F13"/>
  </mergeCells>
  <dataValidations count="1">
    <dataValidation allowBlank="1" sqref="E10" xr:uid="{ADDF7E42-8748-484A-BA50-28B84FD208FA}"/>
  </dataValidations>
  <printOptions horizontalCentered="1"/>
  <pageMargins left="0.2" right="0.2" top="0.5" bottom="0.5" header="0.3" footer="0.3"/>
  <pageSetup paperSize="9" scale="71" fitToHeight="0" orientation="landscape" r:id="rId1"/>
  <headerFoot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Timline</vt:lpstr>
      <vt:lpstr>Timline!Print_Titles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Tuan Long</dc:creator>
  <cp:lastModifiedBy>Nguyen Tuan Long</cp:lastModifiedBy>
  <dcterms:created xsi:type="dcterms:W3CDTF">2026-10-23T02:54:49Z</dcterms:created>
  <dcterms:modified xsi:type="dcterms:W3CDTF">2026-10-23T02:58:22Z</dcterms:modified>
</cp:coreProperties>
</file>