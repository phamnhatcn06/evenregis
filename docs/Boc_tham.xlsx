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eventregis\docs\"/>
    </mc:Choice>
  </mc:AlternateContent>
  <xr:revisionPtr revIDLastSave="0" documentId="8_{80B6B25C-E602-4392-9491-7E1E6AFF0A59}" xr6:coauthVersionLast="36" xr6:coauthVersionMax="36" xr10:uidLastSave="{00000000-0000-0000-0000-000000000000}"/>
  <bookViews>
    <workbookView xWindow="0" yWindow="0" windowWidth="19200" windowHeight="6705" tabRatio="807" firstSheet="1" activeTab="3" xr2:uid="{00000000-000D-0000-FFFF-FFFF00000000}"/>
  </bookViews>
  <sheets>
    <sheet name="Thăm" sheetId="13" state="hidden" r:id="rId1"/>
    <sheet name="Thể lệ" sheetId="17" r:id="rId2"/>
    <sheet name="A-Rút gọn" sheetId="16" r:id="rId3"/>
    <sheet name="A-Chi tiết" sheetId="12" r:id="rId4"/>
    <sheet name="Full name" sheetId="14" r:id="rId5"/>
    <sheet name="Bốc thăm" sheetId="15" state="hidden" r:id="rId6"/>
    <sheet name="Bang ma" sheetId="2" r:id="rId7"/>
    <sheet name="B.Đ nam" sheetId="3" r:id="rId8"/>
    <sheet name="B.Đ nữ" sheetId="4" r:id="rId9"/>
    <sheet name="Kéo co" sheetId="5" r:id="rId10"/>
    <sheet name="Bóng bàn" sheetId="6" r:id="rId11"/>
    <sheet name="BTD Nam" sheetId="7" r:id="rId12"/>
    <sheet name="BE Nam" sheetId="8" r:id="rId13"/>
    <sheet name="Bơi Nữ" sheetId="9" r:id="rId14"/>
    <sheet name="Cầu lông" sheetId="10" r:id="rId15"/>
    <sheet name="Pickle ball" sheetId="11" r:id="rId16"/>
  </sheets>
  <definedNames>
    <definedName name="_xlnm._FilterDatabase" localSheetId="4" hidden="1">'Full name'!$A$2:$X$360</definedName>
    <definedName name="_xlnm.Print_Titles" localSheetId="5">'Bốc thăm'!$1:$5</definedName>
  </definedNames>
  <calcPr calcId="181029"/>
</workbook>
</file>

<file path=xl/calcChain.xml><?xml version="1.0" encoding="utf-8"?>
<calcChain xmlns="http://schemas.openxmlformats.org/spreadsheetml/2006/main">
  <c r="B39" i="16" l="1"/>
  <c r="A40" i="16" s="1"/>
  <c r="B40" i="16" s="1"/>
  <c r="A41" i="16" s="1"/>
  <c r="B41" i="16" s="1"/>
  <c r="A42" i="16" s="1"/>
  <c r="B42" i="16" s="1"/>
  <c r="A43" i="16" s="1"/>
  <c r="B43" i="16" s="1"/>
  <c r="A44" i="16" s="1"/>
  <c r="B44" i="16" s="1"/>
  <c r="A45" i="16" s="1"/>
  <c r="B45" i="16" s="1"/>
  <c r="A46" i="16" s="1"/>
  <c r="B46" i="16" s="1"/>
  <c r="A47" i="16" s="1"/>
  <c r="B47" i="16" s="1"/>
  <c r="B21" i="16"/>
  <c r="A22" i="16" s="1"/>
  <c r="B22" i="16" s="1"/>
  <c r="A23" i="16" s="1"/>
  <c r="B23" i="16" s="1"/>
  <c r="A24" i="16" s="1"/>
  <c r="B24" i="16" s="1"/>
  <c r="A25" i="16" s="1"/>
  <c r="B25" i="16" s="1"/>
  <c r="A26" i="16" s="1"/>
  <c r="B26" i="16" s="1"/>
  <c r="A27" i="16" s="1"/>
  <c r="B27" i="16" s="1"/>
  <c r="A28" i="16" s="1"/>
  <c r="B28" i="16" s="1"/>
  <c r="A29" i="16" s="1"/>
  <c r="B29" i="16" s="1"/>
  <c r="A31" i="16" s="1"/>
  <c r="B31" i="16" s="1"/>
  <c r="A32" i="16" s="1"/>
  <c r="B32" i="16" s="1"/>
  <c r="A33" i="16" s="1"/>
  <c r="B33" i="16" s="1"/>
  <c r="A34" i="16" s="1"/>
  <c r="B34" i="16" s="1"/>
  <c r="A35" i="16" s="1"/>
  <c r="B35" i="16" s="1"/>
  <c r="A36" i="16" s="1"/>
  <c r="B36" i="16" s="1"/>
  <c r="B8" i="16"/>
  <c r="A9" i="16" s="1"/>
  <c r="B9" i="16" s="1"/>
  <c r="A10" i="16" s="1"/>
  <c r="B10" i="16" s="1"/>
  <c r="A11" i="16" s="1"/>
  <c r="B11" i="16" s="1"/>
  <c r="A12" i="16" s="1"/>
  <c r="B12" i="16" s="1"/>
  <c r="A13" i="16" s="1"/>
  <c r="B13" i="16" s="1"/>
  <c r="A14" i="16" s="1"/>
  <c r="B14" i="16" s="1"/>
  <c r="A15" i="16" s="1"/>
  <c r="B15" i="16" s="1"/>
  <c r="A16" i="16" s="1"/>
  <c r="B16" i="16" s="1"/>
  <c r="X360" i="14" l="1"/>
  <c r="X359" i="14"/>
  <c r="X358" i="14"/>
  <c r="X357" i="14"/>
  <c r="X356" i="14"/>
  <c r="X355" i="14"/>
  <c r="X354" i="14"/>
  <c r="X353" i="14"/>
  <c r="X352" i="14"/>
  <c r="X351" i="14"/>
  <c r="X350" i="14"/>
  <c r="X349" i="14"/>
  <c r="X348" i="14"/>
  <c r="X347" i="14"/>
  <c r="X346" i="14"/>
  <c r="X345" i="14"/>
  <c r="X344" i="14"/>
  <c r="X343" i="14"/>
  <c r="X342" i="14"/>
  <c r="X341" i="14"/>
  <c r="X340" i="14"/>
  <c r="X339" i="14"/>
  <c r="X338" i="14"/>
  <c r="X337" i="14"/>
  <c r="X336" i="14"/>
  <c r="X335" i="14"/>
  <c r="X334" i="14"/>
  <c r="X333" i="14"/>
  <c r="X332" i="14"/>
  <c r="X331" i="14"/>
  <c r="X330" i="14"/>
  <c r="X329" i="14"/>
  <c r="X328" i="14"/>
  <c r="X327" i="14"/>
  <c r="X326" i="14"/>
  <c r="X325" i="14"/>
  <c r="X324" i="14"/>
  <c r="X323" i="14"/>
  <c r="X322" i="14"/>
  <c r="X321" i="14"/>
  <c r="X320" i="14"/>
  <c r="X319" i="14"/>
  <c r="X318" i="14"/>
  <c r="X317" i="14"/>
  <c r="X316" i="14"/>
  <c r="X315" i="14"/>
  <c r="X314" i="14"/>
  <c r="X313" i="14"/>
  <c r="X312" i="14"/>
  <c r="X311" i="14"/>
  <c r="X310" i="14"/>
  <c r="X309" i="14"/>
  <c r="X308" i="14"/>
  <c r="X307" i="14"/>
  <c r="X306" i="14"/>
  <c r="X305" i="14"/>
  <c r="X304" i="14"/>
  <c r="X303" i="14"/>
  <c r="X302" i="14"/>
  <c r="X301" i="14"/>
  <c r="X300" i="14"/>
  <c r="X299" i="14"/>
  <c r="X298" i="14"/>
  <c r="X297" i="14"/>
  <c r="X296" i="14"/>
  <c r="X295" i="14"/>
  <c r="X294" i="14"/>
  <c r="X293" i="14"/>
  <c r="X292" i="14"/>
  <c r="X291" i="14"/>
  <c r="X290" i="14"/>
  <c r="X289" i="14"/>
  <c r="X288" i="14"/>
  <c r="X287" i="14"/>
  <c r="X286" i="14"/>
  <c r="X285" i="14"/>
  <c r="X284" i="14"/>
  <c r="X283" i="14"/>
  <c r="X282" i="14"/>
  <c r="X281" i="14"/>
  <c r="X280" i="14"/>
  <c r="X279" i="14"/>
  <c r="X278" i="14"/>
  <c r="X277" i="14"/>
  <c r="X276" i="14"/>
  <c r="X275" i="14"/>
  <c r="X274" i="14"/>
  <c r="X273" i="14"/>
  <c r="X272" i="14"/>
  <c r="X271" i="14"/>
  <c r="X270" i="14"/>
  <c r="X269" i="14"/>
  <c r="X268" i="14"/>
  <c r="X267" i="14"/>
  <c r="X266" i="14"/>
  <c r="X265" i="14"/>
  <c r="X264" i="14"/>
  <c r="X263" i="14"/>
  <c r="X262" i="14"/>
  <c r="X261" i="14"/>
  <c r="X260" i="14"/>
  <c r="X259" i="14"/>
  <c r="X258" i="14"/>
  <c r="X257" i="14"/>
  <c r="X256" i="14"/>
  <c r="X255" i="14"/>
  <c r="X254" i="14"/>
  <c r="X253" i="14"/>
  <c r="X252" i="14"/>
  <c r="X251" i="14"/>
  <c r="X250" i="14"/>
  <c r="X249" i="14"/>
  <c r="X248" i="14"/>
  <c r="X247" i="14"/>
  <c r="X246" i="14"/>
  <c r="X245" i="14"/>
  <c r="X244" i="14"/>
  <c r="X243" i="14"/>
  <c r="X242" i="14"/>
  <c r="X241" i="14"/>
  <c r="X240" i="14"/>
  <c r="X239" i="14"/>
  <c r="X238" i="14"/>
  <c r="X237" i="14"/>
  <c r="X236" i="14"/>
  <c r="X235" i="14"/>
  <c r="X234" i="14"/>
  <c r="X233" i="14"/>
  <c r="X232" i="14"/>
  <c r="X231" i="14"/>
  <c r="X230" i="14"/>
  <c r="X229" i="14"/>
  <c r="X228" i="14"/>
  <c r="X227" i="14"/>
  <c r="X226" i="14"/>
  <c r="X225" i="14"/>
  <c r="X224" i="14"/>
  <c r="X223" i="14"/>
  <c r="X222" i="14"/>
  <c r="X221" i="14"/>
  <c r="X220" i="14"/>
  <c r="X219" i="14"/>
  <c r="X218" i="14"/>
  <c r="X217" i="14"/>
  <c r="X216" i="14"/>
  <c r="X215" i="14"/>
  <c r="X214" i="14"/>
  <c r="X213" i="14"/>
  <c r="X212" i="14"/>
  <c r="X211" i="14"/>
  <c r="X210" i="14"/>
  <c r="X209" i="14"/>
  <c r="X208" i="14"/>
  <c r="X207" i="14"/>
  <c r="X206" i="14"/>
  <c r="X205" i="14"/>
  <c r="X204" i="14"/>
  <c r="X203" i="14"/>
  <c r="X202" i="14"/>
  <c r="X201" i="14"/>
  <c r="X200" i="14"/>
  <c r="X199" i="14"/>
  <c r="X198" i="14"/>
  <c r="X197" i="14"/>
  <c r="X196" i="14"/>
  <c r="X195" i="14"/>
  <c r="X194" i="14"/>
  <c r="X193" i="14"/>
  <c r="X192" i="14"/>
  <c r="X191" i="14"/>
  <c r="X190" i="14"/>
  <c r="X189" i="14"/>
  <c r="X188" i="14"/>
  <c r="X187" i="14"/>
  <c r="X186" i="14"/>
  <c r="X185" i="14"/>
  <c r="X184" i="14"/>
  <c r="X183" i="14"/>
  <c r="X182" i="14"/>
  <c r="X181" i="14"/>
  <c r="X180" i="14"/>
  <c r="X179" i="14"/>
  <c r="X178" i="14"/>
  <c r="X177" i="14"/>
  <c r="X176" i="14"/>
  <c r="X175" i="14"/>
  <c r="X174" i="14"/>
  <c r="X173" i="14"/>
  <c r="X172" i="14"/>
  <c r="X171" i="14"/>
  <c r="X170" i="14"/>
  <c r="X169" i="14"/>
  <c r="X168" i="14"/>
  <c r="X167" i="14"/>
  <c r="X166" i="14"/>
  <c r="X165" i="14"/>
  <c r="X164" i="14"/>
  <c r="X163" i="14"/>
  <c r="X162" i="14"/>
  <c r="X161" i="14"/>
  <c r="X160" i="14"/>
  <c r="X159" i="14"/>
  <c r="X158" i="14"/>
  <c r="X157" i="14"/>
  <c r="X156" i="14"/>
  <c r="X155" i="14"/>
  <c r="X154" i="14"/>
  <c r="X153" i="14"/>
  <c r="X152" i="14"/>
  <c r="X151" i="14"/>
  <c r="X150" i="14"/>
  <c r="X149" i="14"/>
  <c r="X148" i="14"/>
  <c r="X147" i="14"/>
  <c r="X146" i="14"/>
  <c r="X145" i="14"/>
  <c r="X144" i="14"/>
  <c r="X143" i="14"/>
  <c r="X142" i="14"/>
  <c r="X141" i="14"/>
  <c r="X140" i="14"/>
  <c r="X139" i="14"/>
  <c r="X138" i="14"/>
  <c r="X137" i="14"/>
  <c r="X136" i="14"/>
  <c r="X135" i="14"/>
  <c r="X134" i="14"/>
  <c r="X133" i="14"/>
  <c r="X132" i="14"/>
  <c r="X131" i="14"/>
  <c r="X130" i="14"/>
  <c r="X129" i="14"/>
  <c r="X128" i="14"/>
  <c r="X127" i="14"/>
  <c r="X126" i="14"/>
  <c r="X125" i="14"/>
  <c r="X124" i="14"/>
  <c r="X123" i="14"/>
  <c r="X122" i="14"/>
  <c r="X121" i="14"/>
  <c r="X120" i="14"/>
  <c r="X119" i="14"/>
  <c r="X118" i="14"/>
  <c r="X117" i="14"/>
  <c r="X116" i="14"/>
  <c r="X115" i="14"/>
  <c r="X114" i="14"/>
  <c r="X113" i="14"/>
  <c r="X112" i="14"/>
  <c r="X111" i="14"/>
  <c r="X110" i="14"/>
  <c r="X109" i="14"/>
  <c r="X108" i="14"/>
  <c r="X107" i="14"/>
  <c r="X106" i="14"/>
  <c r="X105" i="14"/>
  <c r="X104" i="14"/>
  <c r="X103" i="14"/>
  <c r="X102" i="14"/>
  <c r="X101" i="14"/>
  <c r="X100" i="14"/>
  <c r="X99" i="14"/>
  <c r="X98" i="14"/>
  <c r="X97" i="14"/>
  <c r="X96" i="14"/>
  <c r="X95" i="14"/>
  <c r="X94" i="14"/>
  <c r="X93" i="14"/>
  <c r="X92" i="14"/>
  <c r="X91" i="14"/>
  <c r="X90" i="14"/>
  <c r="X89" i="14"/>
  <c r="X88" i="14"/>
  <c r="X87" i="14"/>
  <c r="X86" i="14"/>
  <c r="X85" i="14"/>
  <c r="X84" i="14"/>
  <c r="X83" i="14"/>
  <c r="X82" i="14"/>
  <c r="X81" i="14"/>
  <c r="X80" i="14"/>
  <c r="X79" i="14"/>
  <c r="X78" i="14"/>
  <c r="X77" i="14"/>
  <c r="X76" i="14"/>
  <c r="X75" i="14"/>
  <c r="X74" i="14"/>
  <c r="X73" i="14"/>
  <c r="X72" i="14"/>
  <c r="X71" i="14"/>
  <c r="X70" i="14"/>
  <c r="X69" i="14"/>
  <c r="X68" i="14"/>
  <c r="X67" i="14"/>
  <c r="X66" i="14"/>
  <c r="X65" i="14"/>
  <c r="X64" i="14"/>
  <c r="X63" i="14"/>
  <c r="X62" i="14"/>
  <c r="X61" i="14"/>
  <c r="X60" i="14"/>
  <c r="X59" i="14"/>
  <c r="X58" i="14"/>
  <c r="X57" i="14"/>
  <c r="X56" i="14"/>
  <c r="X55" i="14"/>
  <c r="X54" i="14"/>
  <c r="X53" i="14"/>
  <c r="X52" i="14"/>
  <c r="X51" i="14"/>
  <c r="X50" i="14"/>
  <c r="X49" i="14"/>
  <c r="X48" i="14"/>
  <c r="X47" i="14"/>
  <c r="X46" i="14"/>
  <c r="X45" i="14"/>
  <c r="X44" i="14"/>
  <c r="X43" i="14"/>
  <c r="X42" i="14"/>
  <c r="X41" i="14"/>
  <c r="X40" i="14"/>
  <c r="X39" i="14"/>
  <c r="X38" i="14"/>
  <c r="X37" i="14"/>
  <c r="X36" i="14"/>
  <c r="X35" i="14"/>
  <c r="X34" i="14"/>
  <c r="X33" i="14"/>
  <c r="X32" i="14"/>
  <c r="X31" i="14"/>
  <c r="X30" i="14"/>
  <c r="X29" i="14"/>
  <c r="X28" i="14"/>
  <c r="X27" i="14"/>
  <c r="X26" i="14"/>
  <c r="X25" i="14"/>
  <c r="X24" i="14"/>
  <c r="X23" i="14"/>
  <c r="X22" i="14"/>
  <c r="X21" i="14"/>
  <c r="X20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X5" i="14"/>
  <c r="X4" i="14"/>
  <c r="X3" i="14"/>
  <c r="B60" i="12" l="1"/>
  <c r="B50" i="12"/>
  <c r="A51" i="12" s="1"/>
  <c r="B51" i="12" s="1"/>
  <c r="A52" i="12" s="1"/>
  <c r="B52" i="12" s="1"/>
  <c r="A53" i="12" s="1"/>
  <c r="B53" i="12" s="1"/>
  <c r="A54" i="12" s="1"/>
  <c r="B54" i="12" s="1"/>
  <c r="A55" i="12" s="1"/>
  <c r="B55" i="12" s="1"/>
  <c r="A56" i="12" s="1"/>
  <c r="B56" i="12" s="1"/>
  <c r="A57" i="12" s="1"/>
  <c r="B32" i="12"/>
  <c r="A33" i="12" s="1"/>
  <c r="B33" i="12" s="1"/>
  <c r="A34" i="12" s="1"/>
  <c r="B34" i="12" s="1"/>
  <c r="A35" i="12" s="1"/>
  <c r="B35" i="12" s="1"/>
  <c r="A36" i="12" s="1"/>
  <c r="B36" i="12" s="1"/>
  <c r="A37" i="12" s="1"/>
  <c r="B37" i="12" s="1"/>
  <c r="A38" i="12" s="1"/>
  <c r="B38" i="12" s="1"/>
  <c r="A39" i="12" s="1"/>
  <c r="B39" i="12" s="1"/>
  <c r="A40" i="12" s="1"/>
  <c r="B40" i="12" s="1"/>
  <c r="A42" i="12" s="1"/>
  <c r="B42" i="12" s="1"/>
  <c r="A43" i="12" s="1"/>
  <c r="B43" i="12" s="1"/>
  <c r="A44" i="12" s="1"/>
  <c r="B44" i="12" s="1"/>
  <c r="A45" i="12" s="1"/>
  <c r="B45" i="12" s="1"/>
  <c r="A46" i="12" s="1"/>
  <c r="B46" i="12" s="1"/>
  <c r="A47" i="12" s="1"/>
  <c r="B47" i="12" s="1"/>
  <c r="A19" i="12"/>
  <c r="A15" i="12"/>
  <c r="A13" i="12"/>
  <c r="I6" i="10" l="1"/>
  <c r="I8" i="10"/>
  <c r="I10" i="10"/>
  <c r="I12" i="10"/>
  <c r="I14" i="10"/>
  <c r="I16" i="10"/>
  <c r="I18" i="10"/>
  <c r="I20" i="10"/>
  <c r="I71" i="10"/>
  <c r="K71" i="10"/>
  <c r="M71" i="10"/>
  <c r="I73" i="10"/>
  <c r="K73" i="10"/>
  <c r="M73" i="10"/>
  <c r="I75" i="10"/>
  <c r="K75" i="10"/>
  <c r="M75" i="10"/>
  <c r="I26" i="10"/>
  <c r="I28" i="10"/>
  <c r="I30" i="10"/>
  <c r="I32" i="10"/>
  <c r="I34" i="10"/>
  <c r="I36" i="10"/>
  <c r="I38" i="10"/>
  <c r="I40" i="10"/>
  <c r="I46" i="10"/>
  <c r="I47" i="10"/>
  <c r="I48" i="10"/>
  <c r="I49" i="10"/>
  <c r="I50" i="10"/>
  <c r="I51" i="10"/>
  <c r="I52" i="10"/>
  <c r="I53" i="10"/>
  <c r="I58" i="10"/>
  <c r="I59" i="10"/>
  <c r="I60" i="10"/>
  <c r="I61" i="10"/>
  <c r="I62" i="10"/>
  <c r="I63" i="10"/>
  <c r="I64" i="10"/>
  <c r="I65" i="10"/>
  <c r="H18" i="3" l="1"/>
  <c r="I60" i="11"/>
  <c r="I58" i="11"/>
  <c r="I56" i="11"/>
  <c r="I54" i="11"/>
  <c r="I52" i="11"/>
  <c r="I50" i="11"/>
  <c r="I48" i="11"/>
  <c r="I46" i="11"/>
  <c r="I40" i="11"/>
  <c r="I38" i="11"/>
  <c r="I36" i="11"/>
  <c r="I34" i="11"/>
  <c r="I32" i="11"/>
  <c r="I30" i="11"/>
  <c r="I28" i="11"/>
  <c r="I26" i="11"/>
  <c r="I20" i="11"/>
  <c r="I18" i="11"/>
  <c r="I16" i="11"/>
  <c r="I14" i="11"/>
  <c r="I12" i="11"/>
  <c r="I10" i="11"/>
  <c r="I8" i="11"/>
  <c r="I6" i="11"/>
  <c r="D39" i="6"/>
  <c r="B39" i="6"/>
  <c r="F38" i="6"/>
  <c r="D38" i="6"/>
  <c r="B38" i="6"/>
  <c r="F37" i="6"/>
  <c r="D37" i="6"/>
  <c r="B37" i="6"/>
  <c r="F36" i="6"/>
  <c r="D36" i="6"/>
  <c r="B36" i="6"/>
  <c r="I9" i="6"/>
  <c r="N9" i="6"/>
  <c r="L9" i="6"/>
  <c r="I8" i="6"/>
  <c r="N8" i="6"/>
  <c r="L8" i="6"/>
  <c r="N7" i="6"/>
  <c r="L7" i="6"/>
  <c r="I7" i="6"/>
  <c r="I6" i="6"/>
  <c r="J21" i="5"/>
  <c r="H21" i="5"/>
  <c r="J20" i="5"/>
  <c r="H20" i="5"/>
  <c r="J19" i="5"/>
  <c r="H19" i="5"/>
  <c r="J18" i="5"/>
  <c r="H18" i="5"/>
  <c r="J18" i="4"/>
  <c r="H18" i="4"/>
  <c r="J17" i="4"/>
  <c r="H17" i="4"/>
  <c r="J16" i="4"/>
  <c r="H16" i="4"/>
  <c r="H25" i="3"/>
  <c r="H24" i="3"/>
  <c r="H23" i="3"/>
  <c r="H22" i="3"/>
  <c r="H21" i="3"/>
  <c r="H20" i="3"/>
  <c r="H19" i="3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<sst xmlns="http://schemas.openxmlformats.org/spreadsheetml/2006/main" count="5149" uniqueCount="1438">
  <si>
    <t>Bảng mã nội dung thi</t>
  </si>
  <si>
    <t>STT</t>
  </si>
  <si>
    <t>Tên nội dung</t>
  </si>
  <si>
    <t>Mã nội dung</t>
  </si>
  <si>
    <t>BĐ.M</t>
  </si>
  <si>
    <t>Ví dụ</t>
  </si>
  <si>
    <t>BĐ.F</t>
  </si>
  <si>
    <t>Bóng đá Nam</t>
  </si>
  <si>
    <t>Tổng số đội vào chung kết: 8</t>
  </si>
  <si>
    <t>Mã đội</t>
  </si>
  <si>
    <t>Tên đội</t>
  </si>
  <si>
    <t>Tổng số đội vào chung kết: 6</t>
  </si>
  <si>
    <t>BĐ.M.01_Liên quân PDO-CDO-VRC</t>
  </si>
  <si>
    <t>Liên quân PDO-CDO-VRC — Số VĐV: 11</t>
  </si>
  <si>
    <t>BĐ.F.01_DLR</t>
  </si>
  <si>
    <t>DLR —  Số VĐV: 11</t>
  </si>
  <si>
    <t>Đội: Liên quân PDO-CDO-VRC — Số VĐV: 11</t>
  </si>
  <si>
    <t>BĐ.M.02_Cienco5 và DHE</t>
  </si>
  <si>
    <t>Cienco5 và DHE — Số VĐV: 11</t>
  </si>
  <si>
    <t>Đội: DLR —  Số VĐV: 11</t>
  </si>
  <si>
    <t>Bóng đá Nữ</t>
  </si>
  <si>
    <t>BĐ.F.02_Liên quân GXT-XTH</t>
  </si>
  <si>
    <t>Liên quân GXT - XTH — Số VĐV: 11</t>
  </si>
  <si>
    <t>Họ và tên</t>
  </si>
  <si>
    <t>Đơn vị</t>
  </si>
  <si>
    <t>Chức danh</t>
  </si>
  <si>
    <t>BĐ.M.03_CTH</t>
  </si>
  <si>
    <t>Mường Thanh Luxury Cần Thơ — Số VĐV: 11</t>
  </si>
  <si>
    <t>BĐ.F.03_Liên quân LSG-PQU</t>
  </si>
  <si>
    <t>Liên quân LSG - PQU — Số VĐV: 11</t>
  </si>
  <si>
    <t>Nguyễn Khánh Toàn</t>
  </si>
  <si>
    <t>Trung tâm Giải trí Vinh</t>
  </si>
  <si>
    <t>Nhân viên Highlands</t>
  </si>
  <si>
    <t>BĐ.M.04_DNA</t>
  </si>
  <si>
    <t>Mường Thanh Grand Đà Nẵng — Số VĐV: 11</t>
  </si>
  <si>
    <t>Nguyễn Mạnh Hùng</t>
  </si>
  <si>
    <t>Mường Thanh Grand Phương Đông</t>
  </si>
  <si>
    <t>Phó bộ phận an ninh</t>
  </si>
  <si>
    <t>Kéo co</t>
  </si>
  <si>
    <t>KC</t>
  </si>
  <si>
    <t>BĐ.M.05_Liên quân SLA-MCH</t>
  </si>
  <si>
    <t>Liên quân SLA - MCH Số VĐV: 11</t>
  </si>
  <si>
    <t>Lê Thị Hoa</t>
  </si>
  <si>
    <t>Mường Thanh Luxury Diễn Lâm</t>
  </si>
  <si>
    <t>Giám sát bếp</t>
  </si>
  <si>
    <t>Bá Văn Việt</t>
  </si>
  <si>
    <t>Giám sát dịch vụ ẩm thực</t>
  </si>
  <si>
    <t>BĐ.F.04_Liên quân QNA-HAN</t>
  </si>
  <si>
    <t xml:space="preserve">BĐ.M.06_Liên quân SMO-HLC-HLR </t>
  </si>
  <si>
    <t>Liên quân SMO - HLC - HLR — Số VĐV: 11</t>
  </si>
  <si>
    <t>Liên quân QNA - HAN — Số VĐV: 10</t>
  </si>
  <si>
    <t>KC.01_CMA</t>
  </si>
  <si>
    <t>Bóng bàn đơn Nam</t>
  </si>
  <si>
    <t>BB.M</t>
  </si>
  <si>
    <t>Bùi Ngọc Quỳnh</t>
  </si>
  <si>
    <t>Nhân viên kỹ thuật</t>
  </si>
  <si>
    <t>BĐ.M.07_Liên quân VTR-NTR</t>
  </si>
  <si>
    <t>Liên quân VTR - NTR — Số VĐV: 11</t>
  </si>
  <si>
    <t>Thái Thị Hường</t>
  </si>
  <si>
    <t>Nhân viên</t>
  </si>
  <si>
    <t>Trần Đình Hiển</t>
  </si>
  <si>
    <t>BĐ.F.05_Cụm siêu thị MT Mart</t>
  </si>
  <si>
    <t>Cụm siêu thị MT Mart — Số VĐV: 10</t>
  </si>
  <si>
    <t>BĐ.M.08_Liên quân XLA-HNC-HNO</t>
  </si>
  <si>
    <t>Liên quân XLA - HNC - HNO — Số VĐV: 9</t>
  </si>
  <si>
    <t>Phan Nguyễn Đức Lưu</t>
  </si>
  <si>
    <t>Trương Thị Hải</t>
  </si>
  <si>
    <t>Trưởng bộ phận</t>
  </si>
  <si>
    <t>BĐ.F.06_Liên quân SLA-MCH</t>
  </si>
  <si>
    <t>Liên quân SLA - MCH — Số VĐV: 11</t>
  </si>
  <si>
    <t>Nguyễn Chiến Huy</t>
  </si>
  <si>
    <t>Nguyễn Quang Đạt</t>
  </si>
  <si>
    <t>Nguyễn Thị Trang</t>
  </si>
  <si>
    <t>BB.M.01_BNI (Toàn)</t>
  </si>
  <si>
    <t>Bóng bàn đơn Nữ</t>
  </si>
  <si>
    <t>BB.F</t>
  </si>
  <si>
    <t>Tứ kết</t>
  </si>
  <si>
    <t>BB.F.01_Cienco5 và DHE (Vân)</t>
  </si>
  <si>
    <t>Đội</t>
  </si>
  <si>
    <t>Bán kết</t>
  </si>
  <si>
    <t>Bơi tự do Nam - cự ly 40m</t>
  </si>
  <si>
    <t>Chung kết</t>
  </si>
  <si>
    <t>Hồ Thị Kim Oanh</t>
  </si>
  <si>
    <t>BTD.M40</t>
  </si>
  <si>
    <t>Trần Xuân Thuỷ</t>
  </si>
  <si>
    <t>BTD.M40.02_CLO (Dũng)</t>
  </si>
  <si>
    <t>Bơi tự do Nam - cự ly 80m</t>
  </si>
  <si>
    <t>Bảng A</t>
  </si>
  <si>
    <t>BTD.M80</t>
  </si>
  <si>
    <t>Bơi tự do Nữ - cự ly 40m</t>
  </si>
  <si>
    <t>BTD.F40</t>
  </si>
  <si>
    <t>Bơi ếch Nam - cự ly 40m</t>
  </si>
  <si>
    <t>BE.M40</t>
  </si>
  <si>
    <t>BE.M40.01_BMT (Minh)</t>
  </si>
  <si>
    <t>Bơi ếch Nam - cự ly 80m</t>
  </si>
  <si>
    <t>Bảng B</t>
  </si>
  <si>
    <t>BE.M80</t>
  </si>
  <si>
    <t>Bơi ếch Nữ - cự ly 40m</t>
  </si>
  <si>
    <t>BE.F40</t>
  </si>
  <si>
    <t>Cầu lông đôi Nam</t>
  </si>
  <si>
    <t>CL.2M</t>
  </si>
  <si>
    <t>CL.2M.02_CCHN (Hanh - Linh)</t>
  </si>
  <si>
    <t>Hoàng Thị Liên</t>
  </si>
  <si>
    <t>Cầu lông đôi Nam - Nữ</t>
  </si>
  <si>
    <t>CL.MF</t>
  </si>
  <si>
    <t>A1</t>
  </si>
  <si>
    <t>Trần Trung Điệp</t>
  </si>
  <si>
    <t>Mường Thanh Cửa Đông</t>
  </si>
  <si>
    <t>CL.MF.01_CCHN (Phúc - Cường)</t>
  </si>
  <si>
    <t>A2</t>
  </si>
  <si>
    <t>Cầu lông đôi Nữ</t>
  </si>
  <si>
    <t>B1</t>
  </si>
  <si>
    <t>CL.2F</t>
  </si>
  <si>
    <t>Nguyễn Phương Duy</t>
  </si>
  <si>
    <t>Giám sát</t>
  </si>
  <si>
    <t>Cầu lông đơn Nam</t>
  </si>
  <si>
    <t>CL.M</t>
  </si>
  <si>
    <t>A3</t>
  </si>
  <si>
    <t>Cầu lông đơn Nữ</t>
  </si>
  <si>
    <t>CL.F</t>
  </si>
  <si>
    <t>Pickleball đôi Nam</t>
  </si>
  <si>
    <t>PK.2M</t>
  </si>
  <si>
    <t>Lê Thị Lưu</t>
  </si>
  <si>
    <t>Phó giám đốc</t>
  </si>
  <si>
    <t>A4</t>
  </si>
  <si>
    <t>Đội: Cienco5 và DHE — Số VĐV: 11</t>
  </si>
  <si>
    <t>Pickleball đôi Nam - Nữ</t>
  </si>
  <si>
    <t>PK.MF</t>
  </si>
  <si>
    <t>PK.MF.01_Cienco5 và DHE (Đức - Tuyết)</t>
  </si>
  <si>
    <t>B2</t>
  </si>
  <si>
    <t>Pickleball đôi Nữ</t>
  </si>
  <si>
    <t>PK.2F</t>
  </si>
  <si>
    <t>Ngô Thị Điệp</t>
  </si>
  <si>
    <t>Phó bộ phận kinh doanh - lễ tân</t>
  </si>
  <si>
    <t>B3</t>
  </si>
  <si>
    <t>Nguyễn Văn Chiến</t>
  </si>
  <si>
    <t>Cienco5 và DHE</t>
  </si>
  <si>
    <t>Kỹ thuật DHE</t>
  </si>
  <si>
    <t>Nguyễn Thị Hường</t>
  </si>
  <si>
    <t>Trưởng bộ phận buồng</t>
  </si>
  <si>
    <t>Phạm Hoàng Linh</t>
  </si>
  <si>
    <t>Nhân viên Kỹ thuật DHE</t>
  </si>
  <si>
    <t>Nguyễn Thị Hòa</t>
  </si>
  <si>
    <t>Đinh Hữu Khanh</t>
  </si>
  <si>
    <t>Phó bộ phận buồng</t>
  </si>
  <si>
    <t>Nhân viên Kế toán</t>
  </si>
  <si>
    <t>Nguyễn Ngọc Hòa</t>
  </si>
  <si>
    <t>Kỹ thuật BQL</t>
  </si>
  <si>
    <t>Nguyễn Thị Oanh</t>
  </si>
  <si>
    <t>Ngô Trinh Sơn</t>
  </si>
  <si>
    <t>cán bộ</t>
  </si>
  <si>
    <t>Nhân viên spa</t>
  </si>
  <si>
    <t>Đặng Ngọc Nhân</t>
  </si>
  <si>
    <t>Ngô Đức Hoàn</t>
  </si>
  <si>
    <t>Đoàn Hồng Thái</t>
  </si>
  <si>
    <t>Đội: Liên quân GXT - XTH — Số VĐV: 11</t>
  </si>
  <si>
    <t>Nguyễn Duy Thịnh</t>
  </si>
  <si>
    <t>Trần Xuân Dương</t>
  </si>
  <si>
    <t>Phùng Văn Thiện</t>
  </si>
  <si>
    <t>Đội: Mường Thanh Luxury Cần Thơ — Số VĐV: 11</t>
  </si>
  <si>
    <t>Trần Thị Tuyết</t>
  </si>
  <si>
    <t>Mường Thanh Golf Club Xuân Thành</t>
  </si>
  <si>
    <t>Caddie</t>
  </si>
  <si>
    <t>Hoàng Trung Đức</t>
  </si>
  <si>
    <t>Mường Thanh Luxury Cần Thơ</t>
  </si>
  <si>
    <t>Giám đốc điều hành</t>
  </si>
  <si>
    <t>Phan Thị Hằng</t>
  </si>
  <si>
    <t>Nguyễn Minh Hùng</t>
  </si>
  <si>
    <t>Nhân viên bếp bánh</t>
  </si>
  <si>
    <t>Huỳnh Nhựt Anh</t>
  </si>
  <si>
    <t>Nhân viên dịch vụ ẩm thực</t>
  </si>
  <si>
    <t>Nguyễn Nhựt Linh</t>
  </si>
  <si>
    <t>Hoàng Thị Hiệp</t>
  </si>
  <si>
    <t>Lê Trần Đình Khương</t>
  </si>
  <si>
    <t>Nguyễn Tuấn Đạt</t>
  </si>
  <si>
    <t>Phạm Thị Hoan</t>
  </si>
  <si>
    <t>Mường Thanh Luxury Xuân Thành</t>
  </si>
  <si>
    <t>Trần Hoàn Mỹ</t>
  </si>
  <si>
    <t>Nhân viên An ninh</t>
  </si>
  <si>
    <t>Trần Thị Lan</t>
  </si>
  <si>
    <t>Thái Minh Tân</t>
  </si>
  <si>
    <t>Trưởng bộ phận dịch vụ ẩm thực</t>
  </si>
  <si>
    <t>Nhân viên buồng</t>
  </si>
  <si>
    <t>Đoàn Tuấn Duy</t>
  </si>
  <si>
    <t>Quản lý tiệc</t>
  </si>
  <si>
    <t>Trần Thị Ngọc Bích</t>
  </si>
  <si>
    <t>Trần Thanh Duy</t>
  </si>
  <si>
    <t>Trưởng bộ phận kinh doanh và tiếp thị</t>
  </si>
  <si>
    <t>Trương Hoàng Tây</t>
  </si>
  <si>
    <t>Trưởng bộ phận An ninh - kỹ thuật - CNTT</t>
  </si>
  <si>
    <t>Đội: Mường Thanh Grand Đà Nẵng — Số VĐV: 11</t>
  </si>
  <si>
    <t>Phạm Thị Yến</t>
  </si>
  <si>
    <t>Lê Thị Ngọc Bích</t>
  </si>
  <si>
    <t>Trần Ngô Văn Cường</t>
  </si>
  <si>
    <t>Mường Thanh Grand Đà Nẵng</t>
  </si>
  <si>
    <t>Nhân viên hành lý</t>
  </si>
  <si>
    <t>Nguyễn Đăng Thiện</t>
  </si>
  <si>
    <t>Giám sát kinh doanh - lễ tân</t>
  </si>
  <si>
    <t>Nguyễn Thị Thơm</t>
  </si>
  <si>
    <t>Nguyễn Thế Anh</t>
  </si>
  <si>
    <t>Quản lý CNTT</t>
  </si>
  <si>
    <t>Trần Thanh Thọ</t>
  </si>
  <si>
    <t>Hồ Thị Thanh</t>
  </si>
  <si>
    <t>Trần Nhơn Huy</t>
  </si>
  <si>
    <t>Nguyễn Lương Hoàng</t>
  </si>
  <si>
    <t>Phan Tá Hùng</t>
  </si>
  <si>
    <t>Đặng Tuấn Minh</t>
  </si>
  <si>
    <t>Bếp trưởng</t>
  </si>
  <si>
    <t>Đội: Liên quân LSG - PQU — Số VĐV: 11</t>
  </si>
  <si>
    <t>Đặng Quang Huy</t>
  </si>
  <si>
    <t>Nhân viên lễ tân</t>
  </si>
  <si>
    <t>Dương Anh Quân</t>
  </si>
  <si>
    <t>Lê Văn Mỹ</t>
  </si>
  <si>
    <t>Phó bộ phận dịch vụ ẩm thực</t>
  </si>
  <si>
    <t>Châu Thị Inh Đa</t>
  </si>
  <si>
    <t>Mường Thanh Luxury Phú Quốc</t>
  </si>
  <si>
    <t>Giám sát vệ sinh công cộng</t>
  </si>
  <si>
    <t>Đội: Liên quân SLA - MCH Số VĐV: 11</t>
  </si>
  <si>
    <t>Phù ái Siêu</t>
  </si>
  <si>
    <t>Kế toán phải thu</t>
  </si>
  <si>
    <t>Trần Thị Thảo Vân</t>
  </si>
  <si>
    <t>Mường Thanh Luxury Sài Gòn</t>
  </si>
  <si>
    <t>Đỗ Huỳnh Anh Thư</t>
  </si>
  <si>
    <t>Đặng Văn Đức</t>
  </si>
  <si>
    <t>Mường Thanh Luxury Mộc Châu</t>
  </si>
  <si>
    <t>Trương Văn Vững</t>
  </si>
  <si>
    <t>Nhân viên kế toán</t>
  </si>
  <si>
    <t>Trần Thị Thu Trang</t>
  </si>
  <si>
    <t>Quản lý nhà hàng</t>
  </si>
  <si>
    <t>Vũ Xuân Trường</t>
  </si>
  <si>
    <t>Lê Uyển Nhi</t>
  </si>
  <si>
    <t>Nhân viên kinh doanh</t>
  </si>
  <si>
    <t>Tòng Văn Định</t>
  </si>
  <si>
    <t>Mường Thanh Luxury Sơn La</t>
  </si>
  <si>
    <t>Phó bộ phận An ninh - kỹ thuật - CNTT</t>
  </si>
  <si>
    <t>Tòng Văn Hải</t>
  </si>
  <si>
    <t>Nguyễn Thị Thúy Liểu</t>
  </si>
  <si>
    <t>Đỗ Đình Chiến</t>
  </si>
  <si>
    <t>Nguyễn Thị Ngân Giang</t>
  </si>
  <si>
    <t>Giám sát tầng</t>
  </si>
  <si>
    <t>Tòng Văn Trọng</t>
  </si>
  <si>
    <t>Nguyễn Thị My</t>
  </si>
  <si>
    <t>Quàng Văn Hạnh</t>
  </si>
  <si>
    <t>Hà Anh Tuấn</t>
  </si>
  <si>
    <t>Trần Thị Tuyết Nghi</t>
  </si>
  <si>
    <t>Giám sát kế toán nhân sự</t>
  </si>
  <si>
    <t>Lường Sinh Đạt</t>
  </si>
  <si>
    <t>Nguyễn Thị Lệ Chi</t>
  </si>
  <si>
    <t>Kế toán trưởng</t>
  </si>
  <si>
    <t>Nguyễn Tất Anh</t>
  </si>
  <si>
    <t>Đội: Liên quân SMO - HLC - HLR — Số VĐV: 11</t>
  </si>
  <si>
    <t>Đội: Liên quân QNA - HAN — Số VĐV: 10</t>
  </si>
  <si>
    <t>Nguyễn Xuân Ngọc</t>
  </si>
  <si>
    <t>Mường Thanh Luxury Hạ Long Centre II</t>
  </si>
  <si>
    <t>Vũ Minh Thắng</t>
  </si>
  <si>
    <t>Vũ Minh Phúc</t>
  </si>
  <si>
    <t>Mường Thanh Luxury Hạ Long Centre</t>
  </si>
  <si>
    <t>Lê Thị Nguyên</t>
  </si>
  <si>
    <t>Mường Thanh Grand Quảng Nam</t>
  </si>
  <si>
    <t>Bùi Hoài Nam</t>
  </si>
  <si>
    <t>Trưởng ca bếp</t>
  </si>
  <si>
    <t>Trần Xuân Hòa</t>
  </si>
  <si>
    <t>Trần Thị Thùy Trang</t>
  </si>
  <si>
    <t>Mường Thanh Holiday Hội An</t>
  </si>
  <si>
    <t>Phạm Văn Hưng</t>
  </si>
  <si>
    <t>Nguyễn Thị Cẩm Tiên</t>
  </si>
  <si>
    <t>Kế toán tổng hợp</t>
  </si>
  <si>
    <t>Phạm Văn Tuấn</t>
  </si>
  <si>
    <t>Vũ Văn Toản</t>
  </si>
  <si>
    <t>Trần Thị Lượng</t>
  </si>
  <si>
    <t>Quản lý giặt là</t>
  </si>
  <si>
    <t>Bùi Văn Kiên</t>
  </si>
  <si>
    <t>Mường Thanh Holiday Suối Mơ</t>
  </si>
  <si>
    <t>Trương Thị Thu Hương</t>
  </si>
  <si>
    <t>Vũ Văn Đại</t>
  </si>
  <si>
    <t>Bùi Thị Mỹ Dung</t>
  </si>
  <si>
    <t>Tổ trưởng tạp vụ</t>
  </si>
  <si>
    <t>Ngô Văn Nam</t>
  </si>
  <si>
    <t>Hồ Thị Lâm Oanh</t>
  </si>
  <si>
    <t>Đội: Liên quân VTR - NTR — Số VĐV: 11</t>
  </si>
  <si>
    <t>Đội: CMA — Đơn vị: Mường Thanh Luxury Cà Mau — Số VĐV: 11</t>
  </si>
  <si>
    <t>Mai Thị Thu Nha</t>
  </si>
  <si>
    <t>Giám sát giặt là</t>
  </si>
  <si>
    <t>Nguyễn Thị Thu Ngọc</t>
  </si>
  <si>
    <t>Hồ Thị Tiên</t>
  </si>
  <si>
    <t>Nguyễn Anh Mỹ</t>
  </si>
  <si>
    <t>Mường Thanh Luxury Viễn Triều</t>
  </si>
  <si>
    <t>KC.02_DLR</t>
  </si>
  <si>
    <t>Lê Duy Toàn</t>
  </si>
  <si>
    <t>Đội: Cụm siêu thị MT Mart — Số VĐV: 10</t>
  </si>
  <si>
    <t>Đội: DLR — Đơn vị: Mường Thanh Luxury Diễn Lâm — Số VĐV: 12</t>
  </si>
  <si>
    <t>Nguyễn Thành Trạng</t>
  </si>
  <si>
    <t>Mường Thanh Grand Nha Trang</t>
  </si>
  <si>
    <t>KC.03_Liên quân LDB-DBP</t>
  </si>
  <si>
    <t>Đội: Liên quân LDB - DBP — Đơn vị: Mường Thanh Luxury Điện Biên — Số VĐV: 12</t>
  </si>
  <si>
    <t>Đoàn Đức Phi Hùng</t>
  </si>
  <si>
    <t>Phạm Quốc Đạt</t>
  </si>
  <si>
    <t>Phạm Thúy Kiều</t>
  </si>
  <si>
    <t>Nguyễn Hoa Lý</t>
  </si>
  <si>
    <t>Mường Thanh Luxury Cà Mau</t>
  </si>
  <si>
    <t>Cụm siêu thị MT Mart</t>
  </si>
  <si>
    <t>KC.04_LYS</t>
  </si>
  <si>
    <t>Đội: LYS — Đơn vị: Mường Thanh Holiday Lý Sơn — Số VĐV: 12</t>
  </si>
  <si>
    <t>Nguyễn Anh Tú</t>
  </si>
  <si>
    <t>Tthu mua</t>
  </si>
  <si>
    <t>Trần Thị Hường</t>
  </si>
  <si>
    <t>Nguyễn Thị Linh Nhi</t>
  </si>
  <si>
    <t>nhân viên</t>
  </si>
  <si>
    <t>Nguyễn Hồng Phương</t>
  </si>
  <si>
    <t>KC.05_Liên quân NTR -VTR</t>
  </si>
  <si>
    <t>Đội: Liên quân NTR - VTR — Đơn vị: Mường Thanh Grand Nha Trang — Số VĐV: 12</t>
  </si>
  <si>
    <t>Trưởng tòa</t>
  </si>
  <si>
    <t>Vũ Thị Khuyên</t>
  </si>
  <si>
    <t>Nguyễn Văn Linh</t>
  </si>
  <si>
    <t>Dương Tiến Phúc</t>
  </si>
  <si>
    <t>Nhân viên gym - bể bơi</t>
  </si>
  <si>
    <t xml:space="preserve">KC.06_ Liên quân SMO-HLC-HLR </t>
  </si>
  <si>
    <t>Đội: Liên quân SMO - HLC - HLR — Đơn vị: Mường Thanh Holiday Suối Mơ — Số VĐV: 12</t>
  </si>
  <si>
    <t>Chu Phương Ly</t>
  </si>
  <si>
    <t>Võ Anh Tiến</t>
  </si>
  <si>
    <t>Trần Văn Quân</t>
  </si>
  <si>
    <t>KC.07_VPTĐ</t>
  </si>
  <si>
    <t>Trần Thị Trà</t>
  </si>
  <si>
    <t>Đội: VPTD — Đơn vị: Văn Phòng Tập Đoàn — Số VĐV: 12</t>
  </si>
  <si>
    <t>Huỳnh Bảo Anh Nam</t>
  </si>
  <si>
    <t>Nguyễn Tú Khanh</t>
  </si>
  <si>
    <t>Nguyễn Kế Mão</t>
  </si>
  <si>
    <t>Trần Thị Thanh</t>
  </si>
  <si>
    <t>KC.08_VTI</t>
  </si>
  <si>
    <t>Đội: VTI — Đơn vị: Mường Thanh Luxury Vientiane — Số VĐV: 11</t>
  </si>
  <si>
    <t>Nguyễn Thị Yến</t>
  </si>
  <si>
    <t>Nguyễn Thị Cẩm Như</t>
  </si>
  <si>
    <t>Phụ bếp</t>
  </si>
  <si>
    <t>Đội: Liên quân XLA - HNC - HNO — Số VĐV: 9</t>
  </si>
  <si>
    <t>Nguyễn Thuỳ Linh</t>
  </si>
  <si>
    <t>Huỳnh Thị Bích Tuyền</t>
  </si>
  <si>
    <t>Hoàng Thu Hiền</t>
  </si>
  <si>
    <t>Trưởng phòng</t>
  </si>
  <si>
    <t>Khổng Văn Bằng</t>
  </si>
  <si>
    <t>Mường Thanh Grand Hà Nội</t>
  </si>
  <si>
    <t>Lê Thị Thảo</t>
  </si>
  <si>
    <t>Đặng Văn Thắng</t>
  </si>
  <si>
    <t>Nhân viên Hành lý</t>
  </si>
  <si>
    <t>Lê Huyền Trang</t>
  </si>
  <si>
    <t>Phó giám đốc phụ trách kinh doanh</t>
  </si>
  <si>
    <t>Nguyễn Văn Tuấn</t>
  </si>
  <si>
    <t>Phó bộ phận Dịch vụ ẩm thực</t>
  </si>
  <si>
    <t>Đội: Liên quân SLA - MCH — Số VĐV: 11</t>
  </si>
  <si>
    <t>Lục Anh Tuấn</t>
  </si>
  <si>
    <t>Nhân viên Buồng</t>
  </si>
  <si>
    <t>Đào Quang Tùng</t>
  </si>
  <si>
    <t>Mường Thanh Grand Hà Nội Centre</t>
  </si>
  <si>
    <t>Đoàn Như Tuyên</t>
  </si>
  <si>
    <t>Hà Thị Thu</t>
  </si>
  <si>
    <t>Lê Bá Ngọc</t>
  </si>
  <si>
    <t>Lái xe</t>
  </si>
  <si>
    <t>Nguyễn Chí Vịnh</t>
  </si>
  <si>
    <t>Nhân viên cây xanh</t>
  </si>
  <si>
    <t>Lò Thị Ngân</t>
  </si>
  <si>
    <t>Nguyễn Trung Hiếu</t>
  </si>
  <si>
    <t>Mường Thanh Grand Xa La</t>
  </si>
  <si>
    <t>Đặng Đình Thắng</t>
  </si>
  <si>
    <t>Nhân viên pha chế</t>
  </si>
  <si>
    <t>Lò Thị Hiền</t>
  </si>
  <si>
    <t>Nhan Tấn Đạt</t>
  </si>
  <si>
    <t>Lường Thị Qui</t>
  </si>
  <si>
    <t>Lê Thị Thắm</t>
  </si>
  <si>
    <t>Quàng Thị Thơm</t>
  </si>
  <si>
    <t>Nhân viên bếp chính</t>
  </si>
  <si>
    <t>Hà Mai Kiên</t>
  </si>
  <si>
    <t>Nguyễn Duy Tân</t>
  </si>
  <si>
    <t>Lò Thị Luân</t>
  </si>
  <si>
    <t>Tòng Thị Kim Duyên</t>
  </si>
  <si>
    <t>Nhân viên văn phòng buồng</t>
  </si>
  <si>
    <t>B4</t>
  </si>
  <si>
    <t>Trần Thị Hương</t>
  </si>
  <si>
    <t>Lò Thị Dược</t>
  </si>
  <si>
    <t>Chu Văn Thuận</t>
  </si>
  <si>
    <t>Nhân viên chăn nuôi</t>
  </si>
  <si>
    <t>Nhân viên locker + VSCC</t>
  </si>
  <si>
    <t>Thái Trọng Thưởng</t>
  </si>
  <si>
    <t>Tăng Ngọc Cương</t>
  </si>
  <si>
    <t>Trương Xuân Thanh</t>
  </si>
  <si>
    <t>Trần Văn Hải</t>
  </si>
  <si>
    <t>Giám đốc</t>
  </si>
  <si>
    <t>K'Song</t>
  </si>
  <si>
    <t>Quàng Văn Thủy</t>
  </si>
  <si>
    <t>Mường Thanh Luxury Điện Biên</t>
  </si>
  <si>
    <t>Lường Thị Kiên</t>
  </si>
  <si>
    <t>Mường Thanh Grand Điện Biên Phủ</t>
  </si>
  <si>
    <t>Nhân viên vệ sinh công cộng</t>
  </si>
  <si>
    <t>Nguyễn Trọng Thắng</t>
  </si>
  <si>
    <t>Cà Văn Công</t>
  </si>
  <si>
    <t>Lò Thị Thắm</t>
  </si>
  <si>
    <t>Lò Văn Khoa</t>
  </si>
  <si>
    <t>Nguyễn Thị Tập</t>
  </si>
  <si>
    <t>Nguyễn Thị Như Sang</t>
  </si>
  <si>
    <t>Ngô Thị Kim Huyền</t>
  </si>
  <si>
    <t>Cà Văn Anh</t>
  </si>
  <si>
    <t>Quàng Thanh Lương</t>
  </si>
  <si>
    <t>Trần Thị Quỳnh</t>
  </si>
  <si>
    <t>Giám sát kế toán</t>
  </si>
  <si>
    <t>Trương Văn Hải</t>
  </si>
  <si>
    <t>Mường Thanh Holiday Lý Sơn</t>
  </si>
  <si>
    <t>Phó bộ phận kinh doanh và tiếp thị</t>
  </si>
  <si>
    <t>Nguyễn Thành Công</t>
  </si>
  <si>
    <t>Trương Thị Trường</t>
  </si>
  <si>
    <t>Nguyễn Văn Đến</t>
  </si>
  <si>
    <t>Nguyễn Thị An Tiên</t>
  </si>
  <si>
    <t>Bùi Thị Tâm</t>
  </si>
  <si>
    <t>Nhân viên tạp vụ</t>
  </si>
  <si>
    <t>Đinh Thị Mỹ Lợi</t>
  </si>
  <si>
    <t>Trần Thị Kim Thảo</t>
  </si>
  <si>
    <t>Nguyễn Văn Hải</t>
  </si>
  <si>
    <t>Lê Văn Phúc</t>
  </si>
  <si>
    <t>Dương Quang Đạo</t>
  </si>
  <si>
    <t>Luân Thị Thu</t>
  </si>
  <si>
    <t>Phạm Lê Kim Ty</t>
  </si>
  <si>
    <t>Nguyễn Thị Phượng Hằng</t>
  </si>
  <si>
    <t>Võ Minh Tuấn</t>
  </si>
  <si>
    <t>Nguyễn Chí Đức</t>
  </si>
  <si>
    <t>Nguyễn Đức Huy</t>
  </si>
  <si>
    <t>Lưu Xuân Hà</t>
  </si>
  <si>
    <t>Nguyễn Thị Nguyệt</t>
  </si>
  <si>
    <t>Đàng Thị Mỹ Hiệp</t>
  </si>
  <si>
    <t>Huỳnh  Tân</t>
  </si>
  <si>
    <t>Cao Thành Trung</t>
  </si>
  <si>
    <t>Nguyễn Bá Đạt</t>
  </si>
  <si>
    <t>Trịnh Đình Việt Anh</t>
  </si>
  <si>
    <t>Nhân viên lái xe</t>
  </si>
  <si>
    <t>Bùi Thị Thu Hương</t>
  </si>
  <si>
    <t>Lâm Thái Bảo</t>
  </si>
  <si>
    <t>Vũ Thị Thịnh</t>
  </si>
  <si>
    <t>Phạm Thi Thu Thủy</t>
  </si>
  <si>
    <t>Nguyễn Thu Hằng</t>
  </si>
  <si>
    <t>Đặng Thị Vân Bình</t>
  </si>
  <si>
    <t>Nguyễn Thái Duy</t>
  </si>
  <si>
    <t>Vũ Thị Yên</t>
  </si>
  <si>
    <t>Vũ Hải Long</t>
  </si>
  <si>
    <t>Nguyễn Thái Mỹ</t>
  </si>
  <si>
    <t>Văn Phòng Tập Đoàn</t>
  </si>
  <si>
    <t>Chuyên viên Thiết kế báo cáo</t>
  </si>
  <si>
    <t>Nguyễn Tuấn Long</t>
  </si>
  <si>
    <t>Trưởng phòng Đào tạo và Kiểm soát chất lượng</t>
  </si>
  <si>
    <t>Bùi Quốc Đông</t>
  </si>
  <si>
    <t>Tổ phó An ninh</t>
  </si>
  <si>
    <t>Trần Anh Tú</t>
  </si>
  <si>
    <t>Nhân viên Bếp bánh</t>
  </si>
  <si>
    <t>Phạm Văn Nhất</t>
  </si>
  <si>
    <t>Trưởng phòng Phần mềm</t>
  </si>
  <si>
    <t>Nguyễn Đăng Hoàng</t>
  </si>
  <si>
    <t>Chuyên viên Digital Marketing</t>
  </si>
  <si>
    <t>Nguyễn Thị Lan</t>
  </si>
  <si>
    <t>Trưởng nhóm Nhân sự</t>
  </si>
  <si>
    <t>Võ Thị Mai Trang</t>
  </si>
  <si>
    <t>Giám sát Điều phối</t>
  </si>
  <si>
    <t>Nguyễn Thị Thu Trang</t>
  </si>
  <si>
    <t>Nhân viên Lễ tân</t>
  </si>
  <si>
    <t>Nguyễn Thị Thanh Thuận</t>
  </si>
  <si>
    <t>Kế toán Ngân hàng</t>
  </si>
  <si>
    <t>Đoàn Thị Thu</t>
  </si>
  <si>
    <t>Thủ quỹ</t>
  </si>
  <si>
    <t>Hoàng Roãn Cường</t>
  </si>
  <si>
    <t>Chuyên viên Kiểm soát chi phí</t>
  </si>
  <si>
    <t>Yeryang  Youayia</t>
  </si>
  <si>
    <t>Mường Thanh Luxury Vientiane</t>
  </si>
  <si>
    <t>Trợ lý quản lý tiệc</t>
  </si>
  <si>
    <t>Thái Bá Niên</t>
  </si>
  <si>
    <t>Ninh Thị Nguyên</t>
  </si>
  <si>
    <t>Giám sát bếp bánh</t>
  </si>
  <si>
    <t>Ketsana  Sirilay</t>
  </si>
  <si>
    <t>Lê Văn Hải</t>
  </si>
  <si>
    <t>Trịnh Quang Toàn</t>
  </si>
  <si>
    <t>Mường Thanh Luxury Bắc Ninh</t>
  </si>
  <si>
    <t>Nhân viên giặt là</t>
  </si>
  <si>
    <t>PO_01</t>
  </si>
  <si>
    <t>Lê Xuân</t>
  </si>
  <si>
    <t>Cụm Chung cư Hà Nội</t>
  </si>
  <si>
    <t>BB.M.02_CCHN (Xuân)</t>
  </si>
  <si>
    <t>Nguyễn Văn Quý</t>
  </si>
  <si>
    <t>Mường Thanh Diễn Châu</t>
  </si>
  <si>
    <t>BB.M.03_DCH (Quý)</t>
  </si>
  <si>
    <t>Vy Văn Hùng</t>
  </si>
  <si>
    <t>PO_02</t>
  </si>
  <si>
    <t>BB.M.05_DNA (Hoàng)</t>
  </si>
  <si>
    <t>Ngô Tuấn Anh</t>
  </si>
  <si>
    <t>Siêu Thị Mường Thanh Hoàng Mai</t>
  </si>
  <si>
    <t>BB.M.06_HMA (Tuấn Anh)</t>
  </si>
  <si>
    <t>Lê Trọng Phú</t>
  </si>
  <si>
    <t>Mường Thanh Holiday Huế</t>
  </si>
  <si>
    <t>Nguyễn Thiện Cung</t>
  </si>
  <si>
    <t>Mường Thanh Luxury Nha Trang</t>
  </si>
  <si>
    <t>BB.M.08_NTC (Cung)</t>
  </si>
  <si>
    <t>BÓNG BÀN — BÓNG BÀN ĐƠN NỮ</t>
  </si>
  <si>
    <t>Trần Khánh Vân</t>
  </si>
  <si>
    <t>Hoàng Thị Thu Hương</t>
  </si>
  <si>
    <t>BB.F.02_Cienco5 và DHE (Hương)</t>
  </si>
  <si>
    <t>Bảng C</t>
  </si>
  <si>
    <t>Nguyễn Thị Thơ</t>
  </si>
  <si>
    <t>BB.F.03_Cienco5 và DHE (Thơ)</t>
  </si>
  <si>
    <t>C1</t>
  </si>
  <si>
    <t>Cao Thị Thủy</t>
  </si>
  <si>
    <t>Mường Thanh Grand Cửa Lò</t>
  </si>
  <si>
    <t>BB.F.04_CLO (Thủy)</t>
  </si>
  <si>
    <t>C2</t>
  </si>
  <si>
    <t>Lò Thị Xuân</t>
  </si>
  <si>
    <t>BB.F.05_DBP (Xuân)</t>
  </si>
  <si>
    <t>C3</t>
  </si>
  <si>
    <t>Lê Thị Lụa</t>
  </si>
  <si>
    <t>Mường Thanh Grand Sài Gòn Centre</t>
  </si>
  <si>
    <t>BB.F.06_SGO (Lụa)</t>
  </si>
  <si>
    <t>Phùng Thị Hiền</t>
  </si>
  <si>
    <t>Mường Thanh Grand Thanh Hóa</t>
  </si>
  <si>
    <t>BB.F.07_THO (Hiền)</t>
  </si>
  <si>
    <t>BB.F.08_VPTĐ (Trang)</t>
  </si>
  <si>
    <t>Trần Hồng Hạnh</t>
  </si>
  <si>
    <t>Chuyên viên Truyền thông nội bộ</t>
  </si>
  <si>
    <t>BB.F.09_VPTĐ (Hạnh)</t>
  </si>
  <si>
    <t>3 nhất bảng thi đấu vòng tròn tính điểm chọn nhất nhì ba</t>
  </si>
  <si>
    <t>Trần Mai Phương</t>
  </si>
  <si>
    <t>Giám sát Chế độ chính sách</t>
  </si>
  <si>
    <t>BB.F.10_VPTĐ (Phương)</t>
  </si>
  <si>
    <t>Phạm Thị Thảo Nhi</t>
  </si>
  <si>
    <t>Giám sát Bếp bánh cấp cao</t>
  </si>
  <si>
    <t>BB.F.11_VPTĐ (Nhi)</t>
  </si>
  <si>
    <t>Vòng loại lượt 1</t>
  </si>
  <si>
    <t>Cụm</t>
  </si>
  <si>
    <t>Thứ hạng</t>
  </si>
  <si>
    <t>Vòng loại lượt 2</t>
  </si>
  <si>
    <t>Vũ Đức Dũng</t>
  </si>
  <si>
    <t>BTD.M40.01_Cienco5 và DHE (Dũng)</t>
  </si>
  <si>
    <t>Làn</t>
  </si>
  <si>
    <t>Nguyễn Văn Sơn</t>
  </si>
  <si>
    <t>MT LCH</t>
  </si>
  <si>
    <t>36.13</t>
  </si>
  <si>
    <t>Lê Mạnh Hùng</t>
  </si>
  <si>
    <t>THPT Nguyễn Du</t>
  </si>
  <si>
    <t>36.47</t>
  </si>
  <si>
    <t>Hoàng Việt Dũng</t>
  </si>
  <si>
    <t>34.88</t>
  </si>
  <si>
    <t>MT HAN</t>
  </si>
  <si>
    <t>35.97</t>
  </si>
  <si>
    <t>Lê Quang Trường</t>
  </si>
  <si>
    <t>BTD.M40.03_CTH (Trường)</t>
  </si>
  <si>
    <t>Trần Xuân Vinh</t>
  </si>
  <si>
    <t>MT SGO</t>
  </si>
  <si>
    <t>32.23</t>
  </si>
  <si>
    <t>MT CLO</t>
  </si>
  <si>
    <t>30.65</t>
  </si>
  <si>
    <t>BTD.M40.04_HAN (Quân)</t>
  </si>
  <si>
    <t>MT CTH</t>
  </si>
  <si>
    <t>32.62</t>
  </si>
  <si>
    <t>Trần Xuân Thủy</t>
  </si>
  <si>
    <t>VRC</t>
  </si>
  <si>
    <t>34.03</t>
  </si>
  <si>
    <t>Lê Tuấn Kha</t>
  </si>
  <si>
    <t>BTD.M40.05_HUE (Kha)</t>
  </si>
  <si>
    <t>MT HUE</t>
  </si>
  <si>
    <t>36.12</t>
  </si>
  <si>
    <t>Trần Lê Quốc Khánh</t>
  </si>
  <si>
    <t>MT LDN</t>
  </si>
  <si>
    <t>35.99</t>
  </si>
  <si>
    <t>Mường Thanh Lai Châu</t>
  </si>
  <si>
    <t>BTD.M40.06_LCH (Sơn)</t>
  </si>
  <si>
    <t>Trống</t>
  </si>
  <si>
    <t>Mường Thanh Luxury Đà Nẵng</t>
  </si>
  <si>
    <t>BTD.M40.07_LDN (Khánh)</t>
  </si>
  <si>
    <t>Trường Nguyễn Du</t>
  </si>
  <si>
    <t>Giáo viên</t>
  </si>
  <si>
    <t>BTD.M40.08_THND (Hùng)</t>
  </si>
  <si>
    <t>BTD.M40.09_SGO (Vinh)</t>
  </si>
  <si>
    <t>BTD.M40.10_VRC (Thủy)</t>
  </si>
  <si>
    <t>BƠI LỘI — BƠI TỰ DO NAM - CỰ LY 80M</t>
  </si>
  <si>
    <t>Trần Văn Anh</t>
  </si>
  <si>
    <t>Mường Thanh Grand Bắc Giang</t>
  </si>
  <si>
    <t>BTD.M80.01_BGI (Văn Anh)</t>
  </si>
  <si>
    <t>Lương Văn Châu</t>
  </si>
  <si>
    <t>MT CBA</t>
  </si>
  <si>
    <t>1:40.07</t>
  </si>
  <si>
    <t>Lê Văn Duệ</t>
  </si>
  <si>
    <t>1:41.05</t>
  </si>
  <si>
    <t>Mường Thanh Luxury Cao Bằng</t>
  </si>
  <si>
    <t>BTD.M80.02_CBA (Châu)</t>
  </si>
  <si>
    <t>MT BGI</t>
  </si>
  <si>
    <t>1:34.60</t>
  </si>
  <si>
    <t>1:35.91</t>
  </si>
  <si>
    <t>BTD.M80.03_CLO (Dũng)</t>
  </si>
  <si>
    <t>Lèo Bá Linh</t>
  </si>
  <si>
    <t>MT SLA</t>
  </si>
  <si>
    <t>1:21.35</t>
  </si>
  <si>
    <t>1:19.03</t>
  </si>
  <si>
    <t>BTD.M80.04_HAN (Duệ)</t>
  </si>
  <si>
    <t>Lê Văn Tài</t>
  </si>
  <si>
    <t>1:25.16</t>
  </si>
  <si>
    <t>Ngô Quý Doanh</t>
  </si>
  <si>
    <t>MT HNC</t>
  </si>
  <si>
    <t>1:34.20</t>
  </si>
  <si>
    <t>Phạm Minh Hải</t>
  </si>
  <si>
    <t>BTD.M80.05_HLC (Hải)</t>
  </si>
  <si>
    <t>MT HLC1</t>
  </si>
  <si>
    <t>1:37.15</t>
  </si>
  <si>
    <t>MT PDO</t>
  </si>
  <si>
    <t>1:36.54</t>
  </si>
  <si>
    <t>Phó giám đốc phụ trách Kinh doanh</t>
  </si>
  <si>
    <t>BTD.M80.06_HNC (Doanh)</t>
  </si>
  <si>
    <t>BTD.M80.07_LCH (Sơn)</t>
  </si>
  <si>
    <t>BTD.M80.08_PDO (Việt)</t>
  </si>
  <si>
    <t>BTD.M80.09_SLA (LInh)</t>
  </si>
  <si>
    <t>BTD.M80.10_VRC (Tài)</t>
  </si>
  <si>
    <t>BƠI LỘI — BƠI ẾCH NAM - CỰ LY 40M</t>
  </si>
  <si>
    <t>Nguyễn Viết Minh</t>
  </si>
  <si>
    <t>Mường Thanh Luxury Buôn Ma Thuột</t>
  </si>
  <si>
    <t>Dương Thanh Tú</t>
  </si>
  <si>
    <t>MT SHA</t>
  </si>
  <si>
    <t>49.22</t>
  </si>
  <si>
    <t>Nguyễn Khắc Thống</t>
  </si>
  <si>
    <t>Nguyễn Hữu Đương</t>
  </si>
  <si>
    <t>Giám Đốc</t>
  </si>
  <si>
    <t>BE.M40.02_CCHN (Đương)</t>
  </si>
  <si>
    <t>Nguyễn Duy Nhật Nam</t>
  </si>
  <si>
    <t>NT SGO</t>
  </si>
  <si>
    <t>42.37</t>
  </si>
  <si>
    <t>LQ Chung cư Hà Nội</t>
  </si>
  <si>
    <t>43.19</t>
  </si>
  <si>
    <t>BE.M40.03_HNO (Thắng)</t>
  </si>
  <si>
    <t>Nguyễn Văn Đàn</t>
  </si>
  <si>
    <t>38.09</t>
  </si>
  <si>
    <t>34.53</t>
  </si>
  <si>
    <t>BE.M40.04_LCH (Đàn)</t>
  </si>
  <si>
    <t>MT BMT</t>
  </si>
  <si>
    <t>40.10</t>
  </si>
  <si>
    <t>Võ Đình Lưu</t>
  </si>
  <si>
    <t>MT QNH</t>
  </si>
  <si>
    <t>41.68</t>
  </si>
  <si>
    <t>BE.M40.05_THND (Thống)</t>
  </si>
  <si>
    <t>MT HNO</t>
  </si>
  <si>
    <t>47.34</t>
  </si>
  <si>
    <t>Lê Bá Hải</t>
  </si>
  <si>
    <t>46.68</t>
  </si>
  <si>
    <t>Mường Thanh Quy Nhơn</t>
  </si>
  <si>
    <t>BE.M40.06_QNH (Lưu)</t>
  </si>
  <si>
    <t>BE.M40.07_SGO (Nam)</t>
  </si>
  <si>
    <t>BE.M40.08_SGO (Hải)</t>
  </si>
  <si>
    <t>Mường Thanh Luxury Sông Hàn</t>
  </si>
  <si>
    <t>BE.M40.09-SHA (Tú)</t>
  </si>
  <si>
    <t>BE.M40.10_VRC (Tài)</t>
  </si>
  <si>
    <t>BƠI LỘI — BƠI ẾCH NAM - CỰ LY 80M</t>
  </si>
  <si>
    <t>BE.M80.01_CCHN (Đương)</t>
  </si>
  <si>
    <t>Tăng Văn Thuận</t>
  </si>
  <si>
    <t>BE.M80.02_Cienco5 và DHE (Thuận)</t>
  </si>
  <si>
    <t>BE.M80.03_Cienco5 và DHE (Dũng)</t>
  </si>
  <si>
    <t>BE.M80.04_CMA (Linh)</t>
  </si>
  <si>
    <t>BE.M80.05_HNO (Thắng)</t>
  </si>
  <si>
    <t>BE.M80.06_LCH (Đàn)</t>
  </si>
  <si>
    <t>Trần Quốc Anh</t>
  </si>
  <si>
    <t>BE.M80.07_LSG (Quốc Anh)</t>
  </si>
  <si>
    <t>BE.M80.08_THND (Hùng)</t>
  </si>
  <si>
    <t>Phạm Xuân Thanh</t>
  </si>
  <si>
    <t>Mường Thanh Luxury Nhật Lệ</t>
  </si>
  <si>
    <t>BE.M80.09_NLE (Thanh)</t>
  </si>
  <si>
    <t>BE.M80.10_VRC (Thủy)</t>
  </si>
  <si>
    <t>BE.M80.11_VTR (Tuấn)</t>
  </si>
  <si>
    <t>BƠI LỘI — BƠI TỰ DO NỮ - CỰ LY 40M</t>
  </si>
  <si>
    <t>Nguyễn Hương Ly</t>
  </si>
  <si>
    <t>BTD.F40.01_BGI (Ly)</t>
  </si>
  <si>
    <t>Lô Thị Hằng</t>
  </si>
  <si>
    <t>Mường Thanh Holiday Con Cuông</t>
  </si>
  <si>
    <t>BTD.F40.02_CCU (Hằng)</t>
  </si>
  <si>
    <t>Hoàng Thị La</t>
  </si>
  <si>
    <t>BTD.F40.03_Cienco5 và DHE (La)</t>
  </si>
  <si>
    <t>Phạm Thị Bốn</t>
  </si>
  <si>
    <t>BTD.F40.04_Cienco5 và DHE (Bốn)</t>
  </si>
  <si>
    <t>BTD.F40.05_DBP (Thắm)</t>
  </si>
  <si>
    <t>Trần Thị Hoa</t>
  </si>
  <si>
    <t>Mường Thanh Grand Hoàng Mai</t>
  </si>
  <si>
    <t>Trợ lý quản lý bar</t>
  </si>
  <si>
    <t>BTD.F40.06_HMA (Hoa)</t>
  </si>
  <si>
    <t>Nguyễn Thị Loan</t>
  </si>
  <si>
    <t>Mường Thanh Grand Quảng Trị</t>
  </si>
  <si>
    <t>BTD.F40.07_QTR (Loan)</t>
  </si>
  <si>
    <t>Trần Bích Ngọc</t>
  </si>
  <si>
    <t>Quản lý nghiệp vụ Buồng</t>
  </si>
  <si>
    <t>BTD.F40.08_VPTĐ (Ngọc)</t>
  </si>
  <si>
    <t>BƠI LỘI — BƠI ẾCH NỮ - CỰ LY 40M</t>
  </si>
  <si>
    <t>BE.F40.01_Cienco5 và DHE (Bốn)</t>
  </si>
  <si>
    <t>Phạm Thị Hương</t>
  </si>
  <si>
    <t>BE.F40.02_Cienco5 và DHE (Hương)</t>
  </si>
  <si>
    <t>Nguyễn Thị Như Quỳnh</t>
  </si>
  <si>
    <t>BE.F40.03_Cienco5 và DHE (Quỳnh)</t>
  </si>
  <si>
    <t>Lưu Quỳnh Hương</t>
  </si>
  <si>
    <t>BE.F40.04_HLC (Hương)</t>
  </si>
  <si>
    <t>Dương Thị Thùy Linh</t>
  </si>
  <si>
    <t>BE.F40.05_LSG (Linh)</t>
  </si>
  <si>
    <t>BE.F40.06_QNA (Ngọc)</t>
  </si>
  <si>
    <t>BE.F40.07_VPTĐ (Ngọc)</t>
  </si>
  <si>
    <t>Nguyễn Thị Vân</t>
  </si>
  <si>
    <t>Phó Giám đốc</t>
  </si>
  <si>
    <t>BE.F40.08_VPTĐ (Vân)</t>
  </si>
  <si>
    <t>Đặng Thị Ánh Phượng</t>
  </si>
  <si>
    <t>BE.F40.09_VRC (Phượng)</t>
  </si>
  <si>
    <t>Ghi nhận thành tích cá nhân, chọn TOP 6 vào lượt bơi CK, chọn Top 4</t>
  </si>
  <si>
    <t>CẦU LÔNG — CẦU LÔNG ĐÔI NAM</t>
  </si>
  <si>
    <t>Nguyễn Trọng Vinh</t>
  </si>
  <si>
    <t>CL.2M.01_BMT (Vinh - Chí)</t>
  </si>
  <si>
    <t>Nguyễn Văn Chí</t>
  </si>
  <si>
    <t>Phạm Ngọc Hanh</t>
  </si>
  <si>
    <t>P. Giám đốc</t>
  </si>
  <si>
    <t>Nhân</t>
  </si>
  <si>
    <t>Bùi Gia Đức</t>
  </si>
  <si>
    <t>Chung cư Thanh Hà</t>
  </si>
  <si>
    <t>CL.2M.03_CCTH (Đức - Hiệp)</t>
  </si>
  <si>
    <t>Nguyễn Hồng Hiệp</t>
  </si>
  <si>
    <t>Trưởng BQL</t>
  </si>
  <si>
    <t>CL.2M.04_DNA (Hùng - Hoàng)</t>
  </si>
  <si>
    <t>Ngô Văn Thơi</t>
  </si>
  <si>
    <t>CL.2M.05_HNC (Thơi - Hiếu)</t>
  </si>
  <si>
    <t>Triệu Minh Hiếu</t>
  </si>
  <si>
    <t>Lê Đức Công</t>
  </si>
  <si>
    <t>CL.2M.05_NTC (Công - Cung)</t>
  </si>
  <si>
    <t>Nguyễn  Lực</t>
  </si>
  <si>
    <t>CL.2M.06_QTR (Lực - Tâm)</t>
  </si>
  <si>
    <t>PICKLEBALL — PICKLEBALL ĐÔI NAM - NỮ</t>
  </si>
  <si>
    <t>Trần Đức Tâm</t>
  </si>
  <si>
    <t>CL.2M.07_SHA (Tú - Vĩnh)</t>
  </si>
  <si>
    <t>Huỳnh Tăng Vĩnh</t>
  </si>
  <si>
    <t>CẦU LÔNG — CẦU LÔNG ĐÔI NAM - NỮ</t>
  </si>
  <si>
    <t>Trương Thị Tuyết</t>
  </si>
  <si>
    <t>A</t>
  </si>
  <si>
    <t>B</t>
  </si>
  <si>
    <t>C</t>
  </si>
  <si>
    <t>Lê Thị Phúc</t>
  </si>
  <si>
    <t>Kế toán Toà nhà</t>
  </si>
  <si>
    <t>Lê Văn Đức</t>
  </si>
  <si>
    <t>PTGĐ</t>
  </si>
  <si>
    <t>Nguyễn Vũ Linh</t>
  </si>
  <si>
    <t>Nguyễn Mạnh Cường</t>
  </si>
  <si>
    <t>Trưởng Hầm xe</t>
  </si>
  <si>
    <t>Nguyễn Thị Thảo</t>
  </si>
  <si>
    <t>Trưởng bộ phận kinh doanh - lễ tân</t>
  </si>
  <si>
    <t>CL.MF.02_DBP (Thảo - Dương)</t>
  </si>
  <si>
    <t>Phan Thị Lê</t>
  </si>
  <si>
    <t>PK.MF.03_Cienco5 và DHE (Hà - Hương)</t>
  </si>
  <si>
    <t>Đinh Ngọc Dương</t>
  </si>
  <si>
    <t>Trần Thị Cẩm Ly</t>
  </si>
  <si>
    <t>Mường Thanh Holiday Đà Lạt</t>
  </si>
  <si>
    <t>Đào Việt Hà</t>
  </si>
  <si>
    <t>Nguyễn Bá Lộc</t>
  </si>
  <si>
    <t>PK.MF.04_NLE (Lộc - Giang)</t>
  </si>
  <si>
    <t>Hà Thị Thùy Giang</t>
  </si>
  <si>
    <t>Nguyễn Hải Triều</t>
  </si>
  <si>
    <t>Lê Thị Mai</t>
  </si>
  <si>
    <t>PK.MF05_SHA (Ly - Mai)</t>
  </si>
  <si>
    <t>Nguyễn Nam Khánh</t>
  </si>
  <si>
    <t>Lương Thanh Loan</t>
  </si>
  <si>
    <t>Trưởng bộ phận Dịch vụ ẩm thực</t>
  </si>
  <si>
    <t>Phạm Thái Ly</t>
  </si>
  <si>
    <t>Phạm Quang Huy</t>
  </si>
  <si>
    <t>Đặng Thị Hoài Anh</t>
  </si>
  <si>
    <t>Nguyễn Thị Vân Kiều</t>
  </si>
  <si>
    <t>CL.MF.06_NTC (Kiều - Cung)</t>
  </si>
  <si>
    <t>Trần Đình Trí</t>
  </si>
  <si>
    <t>CL.MF.07_QTR (Lực - Chi)</t>
  </si>
  <si>
    <t>Nguyễn Duy Anh</t>
  </si>
  <si>
    <t>Chuyên viên Tài chính</t>
  </si>
  <si>
    <t>Lê Thị Kim Chi</t>
  </si>
  <si>
    <t>Lê Thị Phương</t>
  </si>
  <si>
    <t>Mường Thanh Grand Tuyên Quang</t>
  </si>
  <si>
    <t>CL.MF.08_TQU (Phương - Giang)</t>
  </si>
  <si>
    <t>Hà Xuân Giang</t>
  </si>
  <si>
    <t>Lê Thị Thu Nguyệt</t>
  </si>
  <si>
    <t>Giám đốc Marketing và Truyền thông</t>
  </si>
  <si>
    <t>Lỗ Thị Thuý An</t>
  </si>
  <si>
    <t>CL.MF.09_VRC (An - Đạt)</t>
  </si>
  <si>
    <t>CẦU LÔNG — CẦU LÔNG ĐÔI NỮ</t>
  </si>
  <si>
    <t>PICKLEBALL — PICKLEBALL ĐÔI NỮ</t>
  </si>
  <si>
    <t>CL.2F.01_Cienco5 và DHE (Tuyết - Hằng)</t>
  </si>
  <si>
    <t>Nguyễn Thị Thu Thảo</t>
  </si>
  <si>
    <t>PK.2F.01_BGI (Thảo - Hạnh)</t>
  </si>
  <si>
    <t>Nguyễn Thị Thu Hằng</t>
  </si>
  <si>
    <t>Trần Thị Hạnh</t>
  </si>
  <si>
    <t>Vũ Thị Phượng</t>
  </si>
  <si>
    <t>Mường Thanh Grand Hạ Long</t>
  </si>
  <si>
    <t>CL.2F.02_HLO (Phượng - Mai)</t>
  </si>
  <si>
    <t>PK.2F.02_Cienco5 và DHE (Tuyết - Hoài)</t>
  </si>
  <si>
    <t>Lê Ngọc Mai</t>
  </si>
  <si>
    <t>Võ Thanh Hoài</t>
  </si>
  <si>
    <t>CL.2F.03_QTR (Chi - Thủy)</t>
  </si>
  <si>
    <t>PK.2F.03_Cienco5 và DHE (Hương - Xuốt)</t>
  </si>
  <si>
    <t>Nguyễn Thị Thu Thuỷ</t>
  </si>
  <si>
    <t>Đặng Thị Xuốt</t>
  </si>
  <si>
    <t>Trịnh Thị Lan Hương</t>
  </si>
  <si>
    <t>CL.2F.04_SGO (Hương - Kiều)</t>
  </si>
  <si>
    <t>Dương Thị Nhung</t>
  </si>
  <si>
    <t>PK.2F.04_Cienco5 và DHE (Nhung - Vân)</t>
  </si>
  <si>
    <t>Phan Ngọc Kiều</t>
  </si>
  <si>
    <t>CL.2F.05_SHA (Mai - Trâm Anh)</t>
  </si>
  <si>
    <t>Hà Thị Lập</t>
  </si>
  <si>
    <t>PK.2F.05_LCH (Lập - Bình)</t>
  </si>
  <si>
    <t>Vũ Thanh Bình</t>
  </si>
  <si>
    <t>Tô Thị Trâm Anh</t>
  </si>
  <si>
    <t>Nguyễn Thị Thái An</t>
  </si>
  <si>
    <t>Vũ Linh Chi</t>
  </si>
  <si>
    <t>PK.2F.06_LDN (An - Hòa)</t>
  </si>
  <si>
    <t>CL.2F.06_TQU (Chi - Trinh)</t>
  </si>
  <si>
    <t>Hoàng Kiều Trinh</t>
  </si>
  <si>
    <t>Trần Thị Thu Hòa</t>
  </si>
  <si>
    <t>PK.2F.07_PDO (Nguyệt - Tình)</t>
  </si>
  <si>
    <t>Trần Thị Trang</t>
  </si>
  <si>
    <t>CL.2F.07_TQU (Trang - Phương)</t>
  </si>
  <si>
    <t>Đoàn Thị Thanh Tình</t>
  </si>
  <si>
    <t>Tạ Diệp Anh</t>
  </si>
  <si>
    <t>Giám đốc Tài chính</t>
  </si>
  <si>
    <t>PK.2F.08-VPTĐ (Diệp Anh - Nguyệt)</t>
  </si>
  <si>
    <t>CL.2F.08_VRC (An - Nam)</t>
  </si>
  <si>
    <t>Phan Thảo Nam</t>
  </si>
  <si>
    <t>PICKLEBALL — PICKLEBALL ĐÔI NAM</t>
  </si>
  <si>
    <t>CẦU LÔNG — CẦU LÔNG ĐƠN NAM</t>
  </si>
  <si>
    <t>Hoàng Xuân Kỳ</t>
  </si>
  <si>
    <t>Bệnh Viện Phủ Diễn</t>
  </si>
  <si>
    <t>PK.2M.01_PDI (Kỳ - Tư)</t>
  </si>
  <si>
    <t>CL.M.01_CCHN (Cường)</t>
  </si>
  <si>
    <t>Bùi Sỹ Tư</t>
  </si>
  <si>
    <t>Trưởng khoa</t>
  </si>
  <si>
    <t>CL.M.02_CCTH (Hiệp)</t>
  </si>
  <si>
    <t>PK.2M.02_CCHN (Linh - Hanh)</t>
  </si>
  <si>
    <t>Nguyễn Thái Dương</t>
  </si>
  <si>
    <t>CL.M.03_CTH (Dương)</t>
  </si>
  <si>
    <t>CL.M.04_DLA (Triều)</t>
  </si>
  <si>
    <t>Nguyễn Công Toàn</t>
  </si>
  <si>
    <t>PK.2M.03_CHTH (Toàn - Chính)</t>
  </si>
  <si>
    <t>CL.M.05_HNC (Hiếu)</t>
  </si>
  <si>
    <t>Nguyễn Quốc Chính</t>
  </si>
  <si>
    <t>Giám đốc Chi nhánh</t>
  </si>
  <si>
    <t>CL.M.06_HNC (Thơi)</t>
  </si>
  <si>
    <t>Trần Quốc Việt</t>
  </si>
  <si>
    <t>PK.2M.04_HAN (Việt - Tấn)</t>
  </si>
  <si>
    <t>CL.M.07_HUE (Huy)</t>
  </si>
  <si>
    <t>Lê Tạ Tấn</t>
  </si>
  <si>
    <t>CL.M.08_VRC (Đạt)</t>
  </si>
  <si>
    <t>PK.2M.05_MCH (Vững - Quý)</t>
  </si>
  <si>
    <t>Lê Thanh Quý</t>
  </si>
  <si>
    <t>CẦU LÔNG — CẦU LÔNG ĐƠN NỮ</t>
  </si>
  <si>
    <t>Nguyễn Hạ Long</t>
  </si>
  <si>
    <t>Mường Thanh Luxury Phú Thọ</t>
  </si>
  <si>
    <t>PK.2M.06_PTH (Long - Đồng)</t>
  </si>
  <si>
    <t>Nguyễn Ngọc Quỳnh Vy</t>
  </si>
  <si>
    <t>CL.F.01_BMT (Vy)</t>
  </si>
  <si>
    <t>Nguyễn Văn Đồng</t>
  </si>
  <si>
    <t>Nguyễn Trần Vương Nhi</t>
  </si>
  <si>
    <t>CL.F.02_DNA (Nhi)</t>
  </si>
  <si>
    <t>Trần Mạnh Hùng</t>
  </si>
  <si>
    <t>PK.2M.07_SGO (Hùng - Minh)</t>
  </si>
  <si>
    <t>CL.F.03_HLO (Phượng)</t>
  </si>
  <si>
    <t>Trương Nhật Minh</t>
  </si>
  <si>
    <t>CL.F.04_HNO (Loan)</t>
  </si>
  <si>
    <t>Trần Đại Nghĩa</t>
  </si>
  <si>
    <t>Trưởng phòng Kiểm toán nội bộ</t>
  </si>
  <si>
    <t>PK.2M.08_VPTĐ (Nghĩa - Duy Anh)</t>
  </si>
  <si>
    <t>Trần Tú Trân</t>
  </si>
  <si>
    <t>CL.F.05_LSG (Trân)</t>
  </si>
  <si>
    <t>CL.F.06_QTR (Thủy)</t>
  </si>
  <si>
    <t>CL.F.07_TQU (Chi)</t>
  </si>
  <si>
    <t>Vũ Huyền Thu</t>
  </si>
  <si>
    <t>Chuyên viên Kinh doanh</t>
  </si>
  <si>
    <t>CL.F.08_VPTĐ (Thu)</t>
  </si>
  <si>
    <t>TẬP ĐOÀN MƯỜNG THANH - BAN THỂ THAO</t>
  </si>
  <si>
    <t>CL.MF.03_DLA (Ly - Triều)</t>
  </si>
  <si>
    <t>CL.MF.04_HNO (Khánh - Loan)</t>
  </si>
  <si>
    <t>CL.MF.05_HUE (Huy - Anh)</t>
  </si>
  <si>
    <t>Cán bộ</t>
  </si>
  <si>
    <t>Trưởng bộ phận An ninh - Kỹ thuật - CNTT</t>
  </si>
  <si>
    <t>DANH SÁCH ĐỘI THI ĐẤU VÒNG CHUNG KẾT
BÓNG ĐÁ - BÓNG ĐÁ NAM</t>
  </si>
  <si>
    <t>DANH SÁCH ĐỘI THI ĐẤU VÒNG CHUNG KẾT
BÓNG ĐÁ - BÓNG ĐÁ NỮ</t>
  </si>
  <si>
    <r>
      <rPr>
        <sz val="10"/>
        <color rgb="FF000000"/>
        <rFont val="Arial Narrow"/>
        <family val="2"/>
      </rPr>
      <t>PK.MF</t>
    </r>
    <r>
      <rPr>
        <sz val="10"/>
        <color theme="1"/>
        <rFont val="Arial Narrow"/>
        <family val="2"/>
      </rPr>
      <t>.06_SLA (Trí - Kiên)</t>
    </r>
  </si>
  <si>
    <r>
      <rPr>
        <sz val="10"/>
        <color rgb="FF000000"/>
        <rFont val="Arial Narrow"/>
        <family val="2"/>
      </rPr>
      <t>PK.MF</t>
    </r>
    <r>
      <rPr>
        <sz val="10"/>
        <color theme="1"/>
        <rFont val="Arial Narrow"/>
        <family val="2"/>
      </rPr>
      <t>.07_VPTĐ (Duy Anh - Nguyệt)</t>
    </r>
  </si>
  <si>
    <r>
      <rPr>
        <sz val="10"/>
        <color rgb="FF000000"/>
        <rFont val="Arial Narrow"/>
        <family val="2"/>
      </rPr>
      <t>PK.MF</t>
    </r>
    <r>
      <rPr>
        <sz val="10"/>
        <color theme="1"/>
        <rFont val="Arial Narrow"/>
        <family val="2"/>
      </rPr>
      <t>.08_VTI (Niên - Nguyên)</t>
    </r>
  </si>
  <si>
    <r>
      <t>BB.M.</t>
    </r>
    <r>
      <rPr>
        <sz val="10"/>
        <color rgb="FFFF0000"/>
        <rFont val="Arial Narrow"/>
        <family val="2"/>
      </rPr>
      <t>04</t>
    </r>
    <r>
      <rPr>
        <sz val="10"/>
        <color rgb="FF000000"/>
        <rFont val="Arial Narrow"/>
        <family val="2"/>
      </rPr>
      <t>_DCH (Hùng)</t>
    </r>
  </si>
  <si>
    <r>
      <t>BB.M.</t>
    </r>
    <r>
      <rPr>
        <sz val="10"/>
        <color rgb="FFFF0000"/>
        <rFont val="Arial Narrow"/>
        <family val="2"/>
      </rPr>
      <t>04</t>
    </r>
    <r>
      <rPr>
        <sz val="10"/>
        <color rgb="FF000000"/>
        <rFont val="Arial Narrow"/>
        <family val="2"/>
      </rPr>
      <t>_HNO (Tuấn)</t>
    </r>
  </si>
  <si>
    <r>
      <t>BB.M.</t>
    </r>
    <r>
      <rPr>
        <sz val="10"/>
        <color rgb="FFFF0000"/>
        <rFont val="Arial Narrow"/>
        <family val="2"/>
      </rPr>
      <t>07</t>
    </r>
    <r>
      <rPr>
        <sz val="10"/>
        <color rgb="FF000000"/>
        <rFont val="Arial Narrow"/>
        <family val="2"/>
      </rPr>
      <t>_HUE (Phú)</t>
    </r>
  </si>
  <si>
    <r>
      <t>BB.M.</t>
    </r>
    <r>
      <rPr>
        <sz val="10"/>
        <color rgb="FFFF0000"/>
        <rFont val="Arial Narrow"/>
        <family val="2"/>
      </rPr>
      <t>07</t>
    </r>
    <r>
      <rPr>
        <sz val="10"/>
        <color rgb="FF000000"/>
        <rFont val="Arial Narrow"/>
        <family val="2"/>
      </rPr>
      <t>_NTR (Trạng)</t>
    </r>
  </si>
  <si>
    <t>Giải  ba - Giải tư</t>
  </si>
  <si>
    <t>Nhì bảng A thi đấu với Nhì bảng B</t>
  </si>
  <si>
    <t>Nhất bảng A thi đấu với Nhất bảng B</t>
  </si>
  <si>
    <t>BÓNG ĐÁ - BÓNG ĐÁ NAM</t>
  </si>
  <si>
    <t>BÓNG ĐÁ - BÓNG ĐÁ NỮ</t>
  </si>
  <si>
    <t>DANH SÁCH ĐỘI THI ĐẤU VÒNG CHUNG KẾT
KÉO CO - KÉO CO PHỐI HỢP NAM NỮ</t>
  </si>
  <si>
    <t>Outhai Yodsomphanh</t>
  </si>
  <si>
    <t>Ounseng Thammavong</t>
  </si>
  <si>
    <t>Bounmi Khamhung</t>
  </si>
  <si>
    <t>Mokxi Bounnavong</t>
  </si>
  <si>
    <t>Maivanh Thongvilaylom</t>
  </si>
  <si>
    <t>Thipphavan Mapanya</t>
  </si>
  <si>
    <t>KÉO CO - KÉO CO PHỐI HỢP NAM NỮ</t>
  </si>
  <si>
    <t>Thi play off bóng bàn đơn nam</t>
  </si>
  <si>
    <t>BÓNG BÀN - BÓNG BÀN ĐƠN NAM</t>
  </si>
  <si>
    <t>Thắng trận PO_02</t>
  </si>
  <si>
    <t>Thắng trận PO_01</t>
  </si>
  <si>
    <t>Mã VĐV - BB đơn nam</t>
  </si>
  <si>
    <t>Mã VĐV - BB đơn nữ</t>
  </si>
  <si>
    <t>BÓNG BÀN - BÓNG BÀN ĐƠN NỮ</t>
  </si>
  <si>
    <t>Thi đấu vòng tròn, chọn ra VĐV nhất bảng</t>
  </si>
  <si>
    <t>Mã VĐV Bơi tự do nam - Cự ly 40m</t>
  </si>
  <si>
    <t xml:space="preserve">Thành tích </t>
  </si>
  <si>
    <t>BƠI LỘI - BƠI TỰ DO NAM - CỰ LY 40M</t>
  </si>
  <si>
    <t>Lấy top 6 trong 2 lượt</t>
  </si>
  <si>
    <t>BƠI LỘI - BƠI TỰ DO NAM - CỰ LY 80M</t>
  </si>
  <si>
    <t>Mã VĐV Bơi tự do nam - Cự ly 80m</t>
  </si>
  <si>
    <t>Mã VĐV Bơi ếch nam - Cự ly 40m</t>
  </si>
  <si>
    <t>Mã VĐV Bơi ếch nam - Cự ly 80m</t>
  </si>
  <si>
    <t>NLE</t>
  </si>
  <si>
    <t>LSG</t>
  </si>
  <si>
    <t>Cụm CC Hà Nội</t>
  </si>
  <si>
    <t>LCH</t>
  </si>
  <si>
    <t>VTR</t>
  </si>
  <si>
    <t>HNO</t>
  </si>
  <si>
    <t>CMA</t>
  </si>
  <si>
    <t>Mã VĐV Bơi tự do nữ - Cự ly 40m</t>
  </si>
  <si>
    <t>HMA</t>
  </si>
  <si>
    <t>BGI</t>
  </si>
  <si>
    <t>QTR</t>
  </si>
  <si>
    <t>CCU</t>
  </si>
  <si>
    <t>DBP</t>
  </si>
  <si>
    <t>VPTĐ</t>
  </si>
  <si>
    <t>BƠI LỘI - BƠI ẾCH NỮ - CỰ LY 40M</t>
  </si>
  <si>
    <t>Mã VĐV Bơi ếch nữ - Cự ly 40m</t>
  </si>
  <si>
    <t>QNA</t>
  </si>
  <si>
    <t>HLC</t>
  </si>
  <si>
    <t>DANH SÁCH VĐVTHI ĐẤU VÒNG CHUNG KẾT
BÓNG BÀN - BÓNG BÀN ĐƠN NAM</t>
  </si>
  <si>
    <t>DANH SÁCH VĐV THI ĐẤU VÒNG CHUNG KẾT
BƠI LỘI - BƠI TỰ DO NAM - CỰ LY 40M</t>
  </si>
  <si>
    <t>DANH SÁCH VĐVTHI ĐẤU VÒNG CHUNG KẾT
BƠI LỘI - BƠI ẾCH NAM - CỰ LY 40M</t>
  </si>
  <si>
    <t>DANH SÁCH VĐV THI ĐẤU VÒNG CHUNG KẾT
BƠI LỘI - BƠI TỰ DO NỮ - CỰ LY 40M</t>
  </si>
  <si>
    <t>DANH SÁCH VĐV THI ĐẤU VÒNG CHUNG KẾT
CẦU LÔNG - CẦU LÔNG ĐÔI NAM</t>
  </si>
  <si>
    <t>THI ĐẤU TỨ KẾT</t>
  </si>
  <si>
    <t>Nhân viên pha chế/phục vụ L1</t>
  </si>
  <si>
    <t>Mã VĐV cầu lông đơn nam</t>
  </si>
  <si>
    <t>Mã đội cầu lông đôi nữ</t>
  </si>
  <si>
    <t>Mã đội cầu lông đôi nam - nữ</t>
  </si>
  <si>
    <t>Mã đội cầu lông đôi nam</t>
  </si>
  <si>
    <t>Nhân viên pha chế/ phục vụ L1</t>
  </si>
  <si>
    <t>Mã VĐV cầu lông đơn nữ</t>
  </si>
  <si>
    <t>DANH SÁCH VĐV THI ĐẤU VÒNG CHUNG KẾT
PICKLEBALL — PICKLE BALL ĐÔI NAM - NỮ</t>
  </si>
  <si>
    <t>Mã đội pickle ball đôi nam - nữ</t>
  </si>
  <si>
    <t>PK.MF.02_PQU (Linh - Lê)</t>
  </si>
  <si>
    <t>Mã đội pickle ball đôi nữ</t>
  </si>
  <si>
    <t>Mã đội pickle ball đôi nam</t>
  </si>
  <si>
    <r>
      <t xml:space="preserve">Quy ước Mã đội thi: </t>
    </r>
    <r>
      <rPr>
        <b/>
        <sz val="11"/>
        <color rgb="FFFF0000"/>
        <rFont val="Arial Narrow"/>
        <family val="2"/>
      </rPr>
      <t>Mã ND.STT_Tênđội (TênVĐV)</t>
    </r>
  </si>
  <si>
    <t>Vòng bảng</t>
  </si>
  <si>
    <t>Thống kê điểm</t>
  </si>
  <si>
    <t>Tổng điểm</t>
  </si>
  <si>
    <t>Nhất A</t>
  </si>
  <si>
    <t>Nhì B</t>
  </si>
  <si>
    <t>Nhất B</t>
  </si>
  <si>
    <t>Nhì A</t>
  </si>
  <si>
    <t>Vòng Chung kết</t>
  </si>
  <si>
    <t>Nhất C</t>
  </si>
  <si>
    <t>Kết quả</t>
  </si>
  <si>
    <t xml:space="preserve">Thành tích VCK </t>
  </si>
  <si>
    <t>Bắt
đầu</t>
  </si>
  <si>
    <t>Kết
thúc</t>
  </si>
  <si>
    <t>Thi nghiệp vụ (6NV)</t>
  </si>
  <si>
    <t>Bơi (6ND)</t>
  </si>
  <si>
    <t>Bóng bàn (2ND)</t>
  </si>
  <si>
    <t>Kéo co phối hợp Nam - Nữ</t>
  </si>
  <si>
    <t>Cầu lông (5ND)</t>
  </si>
  <si>
    <t>Pick (3ND)</t>
  </si>
  <si>
    <t>BÓNG ĐÁ (8 nam,6 nữ)</t>
  </si>
  <si>
    <t>Địa điểm</t>
  </si>
  <si>
    <t>Khách sạn MT-NBI</t>
  </si>
  <si>
    <t>Bể bơi của KS</t>
  </si>
  <si>
    <t>Nhà thi đấu Ninh Bình</t>
  </si>
  <si>
    <t>Khách sạn</t>
  </si>
  <si>
    <t>Teddy 3 sân</t>
  </si>
  <si>
    <t>Số lượng</t>
  </si>
  <si>
    <t>Khu Dự án Casino - T3</t>
  </si>
  <si>
    <t>Ngoài trời hoặc VIP3 (T3-80m)</t>
  </si>
  <si>
    <t>VIP1 - T3 (200m)</t>
  </si>
  <si>
    <t>VIP2 - T3 (130m)</t>
  </si>
  <si>
    <t>6 làn bơi</t>
  </si>
  <si>
    <t>Bàn 1</t>
  </si>
  <si>
    <t>Bàn 2</t>
  </si>
  <si>
    <t>Làn kéo 1</t>
  </si>
  <si>
    <t>Làn kéo 2</t>
  </si>
  <si>
    <t>Sân 01</t>
  </si>
  <si>
    <t>Sân 02</t>
  </si>
  <si>
    <t>Sân 03</t>
  </si>
  <si>
    <t>Sân 04</t>
  </si>
  <si>
    <t>Sân số 01</t>
  </si>
  <si>
    <t>Sân số 02</t>
  </si>
  <si>
    <t>Sân 1</t>
  </si>
  <si>
    <t>Sân 2</t>
  </si>
  <si>
    <t>Sân 3</t>
  </si>
  <si>
    <t>Ngày</t>
  </si>
  <si>
    <t>27.10.2026</t>
  </si>
  <si>
    <t>SÁNG</t>
  </si>
  <si>
    <t>CHECK IN</t>
  </si>
  <si>
    <t>TRƯA</t>
  </si>
  <si>
    <t xml:space="preserve">ĂN TRƯA </t>
  </si>
  <si>
    <t>KC.A1-A2
CMA_LQ.DLR</t>
  </si>
  <si>
    <t>KC.B1-B2
LQ.HLO_LQ.NTR</t>
  </si>
  <si>
    <t>KC.A3-A4
VTI_LQ.ĐBP</t>
  </si>
  <si>
    <t>KC.B3-B4
VPTĐ_LYS</t>
  </si>
  <si>
    <t>KC.A1-A3
CMA_VTI</t>
  </si>
  <si>
    <t>KC.B1-B3
LQ.HLO_VPTĐ</t>
  </si>
  <si>
    <t>KC.A2-A4
LQ.DLR_LQ.ĐBP</t>
  </si>
  <si>
    <t>KC.B2-B4
LQ.NTR_LYS</t>
  </si>
  <si>
    <t>KC.A1-A4
CMA_LQ.ĐBP</t>
  </si>
  <si>
    <t>KC.B1-B4
LQ.HLO_LYS</t>
  </si>
  <si>
    <t>KC.A2-A3
LQ.DLR_VTI</t>
  </si>
  <si>
    <t>KC.B2-B3
LQ.NTR_VPTĐ</t>
  </si>
  <si>
    <t>Bơi_12 lượt vòng loại</t>
  </si>
  <si>
    <t>BB.M.PO1
DCH (Hùng)_HUE (Phú)</t>
  </si>
  <si>
    <t>BB.M.PO2
HNO (Tuấn)_NTR (Trạng)</t>
  </si>
  <si>
    <t>CL.2M.TK1
QTR (Lực - Tâm)_HNC (Thơi - Hiếu)</t>
  </si>
  <si>
    <t>CL.2M.TK2
CCHN (Đức - Hiệp)_SHA (Tú - Vĩnh)</t>
  </si>
  <si>
    <t>CL.2M.TK3
NTC (Công - Cung)_CCHN (Hanh - Linh)</t>
  </si>
  <si>
    <t>CL.2M.TK4
BMT (Vinh - Chí)_ĐNA (Hùng - Hoàng)</t>
  </si>
  <si>
    <t>BB.M.B1-B2
PO1_HMA (Tuấn Anh)</t>
  </si>
  <si>
    <t>BB.M.B3-B4
BNI (Toàn)_ĐNA (Hoàng)</t>
  </si>
  <si>
    <t>CL.2F.TK1
Cienco5 (Tuyết - Hằng)_SGO (Hương - Kiều)</t>
  </si>
  <si>
    <t>CL.2F.TK2
VRC (An - Nam)_TQU (Chi - Trinh)</t>
  </si>
  <si>
    <t>CL.2F.TK3
HLO (Phượng - Mai)_SHA (Mai - Trâm Anh)</t>
  </si>
  <si>
    <t>CL.2F.TK4
QTR (Chi - Thủy)_TQU (Trang - Phương)</t>
  </si>
  <si>
    <t>BB.M.A1-A2
PO2_CCHN (Xuân)</t>
  </si>
  <si>
    <t>BB.M.A3-A4
NTC (Cung)_DCH (Quý)</t>
  </si>
  <si>
    <t>CL.M.TK1
VRC (Đạt)_CCHN (Cường)</t>
  </si>
  <si>
    <t>CL.M.TK2
HNC (Thơi)_ĐLA (Triều)</t>
  </si>
  <si>
    <t>CL.M.TK3
HUE (Huy)_CCHN (Hiệp)</t>
  </si>
  <si>
    <t>CL.M.TK4
HNC (Hiếu)_CTH (Dương)</t>
  </si>
  <si>
    <t>BĐ.F.A1-A2
LQ.XTH_LQ.DLR</t>
  </si>
  <si>
    <t>BĐ.M.TK1
LQ.HLO_LQ.NTR</t>
  </si>
  <si>
    <t>BĐ.M.TK2
LQ.HNO_LQ.Vinh</t>
  </si>
  <si>
    <t>BB.M.B1-B3
PO1_BNI (Toàn)</t>
  </si>
  <si>
    <t>BB.M.B2-B4
HMA (Tuấn Anh)_ĐNA (Hoàng)</t>
  </si>
  <si>
    <t>CL.F.TK1
VPTĐ (Thu)_BMT (Vy)</t>
  </si>
  <si>
    <t>CL.F.TK2
LSG (Trân)_HLO (Phượng)</t>
  </si>
  <si>
    <t>CL.F.TK3
ĐNA (Nhi)_HNO (Loan)</t>
  </si>
  <si>
    <t>CL.F.TK4
QTR (Thủy)_TQU (Chi)</t>
  </si>
  <si>
    <t>BB.M.A1-A3
PO2_NTC (Cung)</t>
  </si>
  <si>
    <t>BB.M.A2-A4
CCHN (Xuân)_DCH (Quý)</t>
  </si>
  <si>
    <t>CL.MF.A1-A2
HUE (Huy - Hoài Anh)_TQU (Phương - Giang)</t>
  </si>
  <si>
    <t>CL.MF.B1-B2
VRC (An - Đạt)_DBP (Thảo - Dương)</t>
  </si>
  <si>
    <t>CL.MF.C1-C2
QTR (Lực - Chi)_CCHN (Phúc - Cường)</t>
  </si>
  <si>
    <t>BĐ.F.B1-B2
LQ.SGO_LQ.SLA</t>
  </si>
  <si>
    <t>BĐ.M.TK3
LQ.SLA_Cienco5</t>
  </si>
  <si>
    <t>BĐ.M.TK4
CTH_ĐNA</t>
  </si>
  <si>
    <t>BB.M.B1-B4
PO1_ĐNA (Hoàng)</t>
  </si>
  <si>
    <t>BB.M.B2-B3
HMA (Tuấn Anh)_BNI (Toàn)</t>
  </si>
  <si>
    <t>CL.MF.A2-A3
TQU (Phương - Giang)_NTC (Kiều - Cung)</t>
  </si>
  <si>
    <t>CL.MF.B2-B3
DBP (Thảo - Dương)_HNO (Khánh - Loan)</t>
  </si>
  <si>
    <t>CL.MF.C2-C3
CCHN (Phúc - Cường)_ĐLA (Ly - Triều)</t>
  </si>
  <si>
    <t>BB.M.A1-A4
PO2_DCH (Quý)</t>
  </si>
  <si>
    <t>BB.M.A2-A3
CCHN (Xuân)_NTC (Cung)</t>
  </si>
  <si>
    <t>CL.MF.A3-A1
NTC (Kiều - Cung)_HUE (Huy - Hoài Anh)</t>
  </si>
  <si>
    <t>CL.MF.B3-B1
HNO (Khánh - Loan)_VRC (An - Đạt)</t>
  </si>
  <si>
    <t>CL.MF.C3-C1
ĐLA (Ly - Triều)_QTR (Lực - Chi)</t>
  </si>
  <si>
    <t>BB.F.A1-A2
SGO (Lụa)_VPTĐ (Phương)</t>
  </si>
  <si>
    <t>BB.F.A3-A4
VPTĐ (Hạnh)_Cienco5 (Vân)</t>
  </si>
  <si>
    <t>BB.F.B1-B2
THO (Hiền)_VPTĐ (Nhi)</t>
  </si>
  <si>
    <t>BB.F.B3-B4
Cienco5 (Hương)_CLO (Thủy)</t>
  </si>
  <si>
    <t>BB.F.C1-C2
DBP (Xuân)_Cienco5 (Thơ)</t>
  </si>
  <si>
    <t>BB.F.A1-A3
SGO (Lụa)_VPTĐ (Hạnh)</t>
  </si>
  <si>
    <t>BB.F.A2-A4
VPTĐ (Phương)_Cienco5 (Vân)</t>
  </si>
  <si>
    <t>BB.F.B1-B3
THO (Hiền)_Cienco5 (Hương)</t>
  </si>
  <si>
    <t>BB.F.B2-B4
VPTĐ (Nhi)_CLO (Thủy)</t>
  </si>
  <si>
    <t>BB.F.C2-C3
Cienco5 (Thơ)_VPTĐ (Trang)</t>
  </si>
  <si>
    <t>BB.F.A1-A4
SGO (Lụa)_Cienco5 (Vân)</t>
  </si>
  <si>
    <t>BB.F.A2-A3
VPTĐ (Phương)_VPTĐ (Hạnh)</t>
  </si>
  <si>
    <t>BB.F.B1-B4
THO (Hiền)_CLO (Thủy)</t>
  </si>
  <si>
    <t>BB.F.B2-B3
VPTĐ (Nhi)_Cienco5 (Hương)</t>
  </si>
  <si>
    <t>BB.F.C3-C1
VPTĐ (Trang)_DBP (Xuân)</t>
  </si>
  <si>
    <t>TỐI - 19:00</t>
  </si>
  <si>
    <t>KHAI MẠC ĐẠI HỘI</t>
  </si>
  <si>
    <t>28.10.2026</t>
  </si>
  <si>
    <t>CHẠY</t>
  </si>
  <si>
    <t>KHAI MẠC THI NV</t>
  </si>
  <si>
    <t>Bếp</t>
  </si>
  <si>
    <t>Nhà hàng</t>
  </si>
  <si>
    <t>AKT</t>
  </si>
  <si>
    <t>Buồng
(kê 8 giường 1m8)</t>
  </si>
  <si>
    <t>KT-NS
(game show)</t>
  </si>
  <si>
    <t>BĐ.F.A2-A3
LQ.DLR_LQ.QNA</t>
  </si>
  <si>
    <t>BĐ.F.B2-B3
LQ.SLA_LQ.MT Mart</t>
  </si>
  <si>
    <t>LKM
(game show)</t>
  </si>
  <si>
    <t>BĐ.M.BK1</t>
  </si>
  <si>
    <t>BĐ.M.BK2</t>
  </si>
  <si>
    <t>BĐ.F.A3-A1
LQ.QNA_LQ.XTH</t>
  </si>
  <si>
    <t>BĐ.F.B3-B1
LQ.MT Mart_LQ.SGO</t>
  </si>
  <si>
    <t>TỐI</t>
  </si>
  <si>
    <t>ĂN TỐI</t>
  </si>
  <si>
    <t>TRAO GIẢI NGHIỆP VỤ</t>
  </si>
  <si>
    <t>PK.2F.TK1
Cienco5 (Tuyết - Hoài)_LCH (Lập - Bình)</t>
  </si>
  <si>
    <t>PK.2F.TK2
Cienco5 (Nhung - Vân)_BGI (Thảo - Hạnh)</t>
  </si>
  <si>
    <t>PK.2F.TK3
Cienco5 (Hương - Xuốt)_PDO (Nguyệt - Tình)</t>
  </si>
  <si>
    <t>PK.2F.TK4
VPTĐ (Diệp Anh - Nguyệt)_LDN (An - Hòa)</t>
  </si>
  <si>
    <t>PK.2M.TK1
CCHN (Linh - Hanh)_HAN (Việt - Tấn)</t>
  </si>
  <si>
    <t>PK.2M.TK2
PTH (Long - Đồng)_SGO (Hùng - Minh)</t>
  </si>
  <si>
    <t>PK.2M.TK3
BVPD (Kỳ - Tư)_CCHN (Toàn - Chính)</t>
  </si>
  <si>
    <t>PK.2M.TK4
VPTĐ (Nghĩa - Duy Anh)_MCH (Vững - Quý)</t>
  </si>
  <si>
    <t>PK.MF.TK1
VPTĐ (Duy Anh - Nguyệt)_SLA (Trí - Kiên)</t>
  </si>
  <si>
    <t>PK.MF.TK2
VTI (Niên - Nguyên)_SHA (Ly - Mai)</t>
  </si>
  <si>
    <t>PK.MF.TK3
Cienco5 (Đức - Tuyết)_NLE (Lộc - Giang)</t>
  </si>
  <si>
    <t>PK.MF.TK4
Cienco5 (Hà - Hương)_PQU (Linh - Lê)</t>
  </si>
  <si>
    <t>29.10.2026</t>
  </si>
  <si>
    <t>Các trận vòng loại nếu còn</t>
  </si>
  <si>
    <t>BĐ.M.3-4</t>
  </si>
  <si>
    <t>BĐ.F.3-4
Nhì A-Nhì B</t>
  </si>
  <si>
    <t>BB.M.BK1
Nhất A-Nhì B</t>
  </si>
  <si>
    <t>BB.M.BK2
Nhất B-Nhì A</t>
  </si>
  <si>
    <t>CL.M.BK1</t>
  </si>
  <si>
    <t>CL.M.BK2</t>
  </si>
  <si>
    <t>CL.F.BK1</t>
  </si>
  <si>
    <t>CL.F.BK2</t>
  </si>
  <si>
    <t>PK.2F.BK1</t>
  </si>
  <si>
    <t>PK.2F.BK2</t>
  </si>
  <si>
    <t>BB.F
Nhất A-Nhất B</t>
  </si>
  <si>
    <t>CL.2M.BK1</t>
  </si>
  <si>
    <t>CL.2M.BK2</t>
  </si>
  <si>
    <t>CL.2F.BK1</t>
  </si>
  <si>
    <t>CL.2F.BK2</t>
  </si>
  <si>
    <t>PK.2M.BK1</t>
  </si>
  <si>
    <t>PK.2M.BK2</t>
  </si>
  <si>
    <t>BĐ.M.CK</t>
  </si>
  <si>
    <t>BĐ.F.CK
Nhất A-Nhất B</t>
  </si>
  <si>
    <t>BB.M.Ba-Tư</t>
  </si>
  <si>
    <t>BB.M.CK</t>
  </si>
  <si>
    <t>CL.M.Ba-Tư</t>
  </si>
  <si>
    <t>CL.M.CK</t>
  </si>
  <si>
    <t>CL.F.Ba-Tư</t>
  </si>
  <si>
    <t>CL.F.CK</t>
  </si>
  <si>
    <t>PK.MF.BK1</t>
  </si>
  <si>
    <t>PK.MF.BK2</t>
  </si>
  <si>
    <t>BB.F
Nhất B-Nhất C</t>
  </si>
  <si>
    <t>CL.2M.Ba-Tư</t>
  </si>
  <si>
    <t>CL.2M.CK</t>
  </si>
  <si>
    <t>CL.2F.Ba-Tư</t>
  </si>
  <si>
    <t>CL.2F.CK</t>
  </si>
  <si>
    <t>Nghỉ giải lao</t>
  </si>
  <si>
    <t>TRAO GIẢI BÓNG ĐÁ TẠI SÂN</t>
  </si>
  <si>
    <t>BB.F
Nhất C-Nhất A</t>
  </si>
  <si>
    <t>CL.MF 
Nhất A-Nhất B</t>
  </si>
  <si>
    <t>PK.2F.Ba-Tư</t>
  </si>
  <si>
    <t>PK.2F.CK</t>
  </si>
  <si>
    <t>Bơi_6 lượt Chung kết</t>
  </si>
  <si>
    <t>CL.MF 
Nhất B-Nhất C</t>
  </si>
  <si>
    <t>PK.2M.Ba-Tư</t>
  </si>
  <si>
    <t>PK.2M.CK</t>
  </si>
  <si>
    <t>CL.MF 
Nhất C-Nhất A</t>
  </si>
  <si>
    <t>PK.MF.Ba-Tư</t>
  </si>
  <si>
    <t>PK.MF.CK</t>
  </si>
  <si>
    <t>KC.BK1 
Nhất A-Nhì B</t>
  </si>
  <si>
    <t>KC.BK2
Nhất B-Nhì A</t>
  </si>
  <si>
    <t>KC.Tranh 3-4</t>
  </si>
  <si>
    <t>KC.Chung kết</t>
  </si>
  <si>
    <t>CHIỀU - 15h</t>
  </si>
  <si>
    <t>TRAO GIẢI THỂ THAO</t>
  </si>
  <si>
    <t>2 bảng</t>
  </si>
  <si>
    <t>Bđ Nữ 3</t>
  </si>
  <si>
    <t>4 PO</t>
  </si>
  <si>
    <t>Bóng bàn nam 4</t>
  </si>
  <si>
    <t>Bóng bàn nữ 4</t>
  </si>
  <si>
    <t>Bóng bàn Nữ 3</t>
  </si>
  <si>
    <t>Kéo co 4</t>
  </si>
  <si>
    <t>Bơi 6</t>
  </si>
  <si>
    <t>Pick 8</t>
  </si>
  <si>
    <t>Bđ nam 8</t>
  </si>
  <si>
    <t>Cầu lông 8</t>
  </si>
  <si>
    <t>Cầu lông 2NN 3</t>
  </si>
  <si>
    <t>A5</t>
  </si>
  <si>
    <t>B5</t>
  </si>
  <si>
    <t>A6</t>
  </si>
  <si>
    <t>B6</t>
  </si>
  <si>
    <t>A7</t>
  </si>
  <si>
    <t>A8</t>
  </si>
  <si>
    <t>Bơi</t>
  </si>
  <si>
    <t xml:space="preserve">Pickleball </t>
  </si>
  <si>
    <t>Cầu lông</t>
  </si>
  <si>
    <t>Bóng bàn</t>
  </si>
  <si>
    <t>BĐ</t>
  </si>
  <si>
    <t>Tổng</t>
  </si>
  <si>
    <t>Giới tính</t>
  </si>
  <si>
    <t>TD 
Nữ 
40m</t>
  </si>
  <si>
    <t>E 
Nữ 
40m</t>
  </si>
  <si>
    <t>TD Nam
40m</t>
  </si>
  <si>
    <t>TD 
Nam
80m</t>
  </si>
  <si>
    <t>E 
Nam 40m</t>
  </si>
  <si>
    <t>E 
Nam 80m</t>
  </si>
  <si>
    <t>Đôi 
Nữ</t>
  </si>
  <si>
    <t>Đôi 
Nam-Nữ</t>
  </si>
  <si>
    <t>Đôi 
Nam</t>
  </si>
  <si>
    <t>Đơn 
Nữ</t>
  </si>
  <si>
    <t>Đơn 
Nam</t>
  </si>
  <si>
    <t>Đơn Nữ</t>
  </si>
  <si>
    <t>Nam</t>
  </si>
  <si>
    <t>Nữ</t>
  </si>
  <si>
    <t>x</t>
  </si>
  <si>
    <t>Lê Kim Giang</t>
  </si>
  <si>
    <t>Tăng Văn thuận</t>
  </si>
  <si>
    <t>Nguyễn Minh Hiếu</t>
  </si>
  <si>
    <t>Bounmi  Khamhung</t>
  </si>
  <si>
    <t>Maivanh  Thongvilaylom</t>
  </si>
  <si>
    <t>Mokxi  Bounnavong</t>
  </si>
  <si>
    <t>Ounseng  Thammavong</t>
  </si>
  <si>
    <t>Outhai  Yodsomphanh</t>
  </si>
  <si>
    <t>Thipphavan  Mapanya</t>
  </si>
  <si>
    <t>ĐẠI HỘI MƯỜNG THANH 2026 - BAN THỂ THAO</t>
  </si>
  <si>
    <t>TỔNG HỢP DANH SÁCH VẬN ĐỘNG VIÊN/ĐỘI VÀO VÒNG CHUNG KẾT</t>
  </si>
  <si>
    <t>Nội dung</t>
  </si>
  <si>
    <t>Tên VĐV/Tên đội</t>
  </si>
  <si>
    <t>Thuộc Cụm</t>
  </si>
  <si>
    <t>Bóng bàn đơn nam</t>
  </si>
  <si>
    <t>PO</t>
  </si>
  <si>
    <t xml:space="preserve">Nguyễn Văn Tuấn
</t>
  </si>
  <si>
    <t>2.10</t>
  </si>
  <si>
    <t xml:space="preserve">Nguyễn Thành Trạng
</t>
  </si>
  <si>
    <t>MT NTR</t>
  </si>
  <si>
    <t xml:space="preserve">Lê Xuân
</t>
  </si>
  <si>
    <t xml:space="preserve">Nguyễn Thiện Cung 
</t>
  </si>
  <si>
    <t>MT NTC</t>
  </si>
  <si>
    <t xml:space="preserve">Nguyễn Văn Qúy
</t>
  </si>
  <si>
    <t>MT DCH</t>
  </si>
  <si>
    <t xml:space="preserve">Vy Văn Hùng
</t>
  </si>
  <si>
    <t xml:space="preserve">Lê Trọng Phú
</t>
  </si>
  <si>
    <t xml:space="preserve">Ngô Tuấn Anh
</t>
  </si>
  <si>
    <t>MT HMA</t>
  </si>
  <si>
    <t xml:space="preserve">Trịnh Quang Toàn
</t>
  </si>
  <si>
    <t>MT BNI</t>
  </si>
  <si>
    <t xml:space="preserve">Nguyễn Lương Hoàng
</t>
  </si>
  <si>
    <t>MT DNA</t>
  </si>
  <si>
    <t>Bóng bàn đơn nữ</t>
  </si>
  <si>
    <t>Không thi Vòng Cụm</t>
  </si>
  <si>
    <t xml:space="preserve">Lê Thị Lụa
</t>
  </si>
  <si>
    <t xml:space="preserve">Trần Mai Phương
</t>
  </si>
  <si>
    <t xml:space="preserve">Trần Hồng Hạnh
</t>
  </si>
  <si>
    <t xml:space="preserve">Phùng Thị Hiền
</t>
  </si>
  <si>
    <t>MT THO</t>
  </si>
  <si>
    <t>3.10</t>
  </si>
  <si>
    <t xml:space="preserve">Cao Thị Thủy
</t>
  </si>
  <si>
    <t xml:space="preserve">Lò Thị Xuân
</t>
  </si>
  <si>
    <t>MT DBP</t>
  </si>
  <si>
    <t xml:space="preserve">Võ Thị Mai Trang
</t>
  </si>
  <si>
    <t>Bóng đá nam</t>
  </si>
  <si>
    <t>LQ: MT HLC1 - MT HLC2 - MT SMO</t>
  </si>
  <si>
    <t>LQ: MT VTR - MT NTR - Chung cư Nha Trang</t>
  </si>
  <si>
    <t>LQ: MT XLA - MT HNO - MT HNC</t>
  </si>
  <si>
    <t>LQ: MT PDO - MT CDO - VRC</t>
  </si>
  <si>
    <t>LQ: MT SLA - MT MCH</t>
  </si>
  <si>
    <t xml:space="preserve">Cienco5 và DHE
</t>
  </si>
  <si>
    <t>Bóng đá nữ</t>
  </si>
  <si>
    <t>LQ: MT XTH - GXT</t>
  </si>
  <si>
    <t>LQ: MT DLR - DLG - DLS</t>
  </si>
  <si>
    <t>LQ: MT QNA - MT HAN</t>
  </si>
  <si>
    <t>LQ: MT LSG - MT PQU</t>
  </si>
  <si>
    <t>LQ: Siêu thị Hà Nội</t>
  </si>
  <si>
    <t>Văn phòng Tập đoàn</t>
  </si>
  <si>
    <t>Mường Thanh Lý Sơn</t>
  </si>
  <si>
    <t xml:space="preserve">Mường Thanh Luxury Cà Mau
</t>
  </si>
  <si>
    <t>LQ: MT LDB - MT DBP</t>
  </si>
  <si>
    <t xml:space="preserve">32.23
</t>
  </si>
  <si>
    <t>MT QTR</t>
  </si>
  <si>
    <t>MT CCU</t>
  </si>
  <si>
    <t xml:space="preserve">42.37
</t>
  </si>
  <si>
    <t>MT NLE</t>
  </si>
  <si>
    <t>MT LSG</t>
  </si>
  <si>
    <t>MT VTR</t>
  </si>
  <si>
    <t>MT CMA</t>
  </si>
  <si>
    <t>Nguyễn Như Quỳnh</t>
  </si>
  <si>
    <t>MT QNA</t>
  </si>
  <si>
    <t>MT HLC</t>
  </si>
  <si>
    <t>Cầu lông đôi nam</t>
  </si>
  <si>
    <t>Nguyễn Lực</t>
  </si>
  <si>
    <t>Cầu lông đôi nam - nữ</t>
  </si>
  <si>
    <t>MT TQU</t>
  </si>
  <si>
    <t>Lỗ Thị Thúy An</t>
  </si>
  <si>
    <t>MT DLA</t>
  </si>
  <si>
    <t>Cầu lông đôi nữ</t>
  </si>
  <si>
    <t>MT HLO</t>
  </si>
  <si>
    <t>Cầu lông đơn nam</t>
  </si>
  <si>
    <t>Cầu lông đơn nữ</t>
  </si>
  <si>
    <t>Pickleball đôi nam</t>
  </si>
  <si>
    <t>MT PTH</t>
  </si>
  <si>
    <t>BV PDI</t>
  </si>
  <si>
    <t>MT MCH</t>
  </si>
  <si>
    <t>Pickleball đôi nam - nữ</t>
  </si>
  <si>
    <t>MT VTI</t>
  </si>
  <si>
    <t>Hà Thị Thuỳ Giang</t>
  </si>
  <si>
    <t>19.8</t>
  </si>
  <si>
    <t>MT PQU</t>
  </si>
  <si>
    <t>Số thăm</t>
  </si>
  <si>
    <t>Nhân lực Mường Thanh</t>
  </si>
  <si>
    <t>Sân số 
02</t>
  </si>
  <si>
    <t>Bóng đá 1</t>
  </si>
  <si>
    <t>Bóng đá 2</t>
  </si>
  <si>
    <t>Bóng đá 3
&amp; Pick</t>
  </si>
  <si>
    <t>6 trận vòng loại bảng A</t>
  </si>
  <si>
    <t>6 trận vòng loại bảng B</t>
  </si>
  <si>
    <t>Kéo co: Tuấn - Văn Thắng - Nhân</t>
  </si>
  <si>
    <t>12 lượt vòng loại</t>
  </si>
  <si>
    <t>Các trận vòng loại:
- 2 trận PO Đơn Nam
- 8 Đơn Nam (2 bảng)
- 11 Đơn Nữ (3 bảng)</t>
  </si>
  <si>
    <t>Các trận vòng loại:
- 8 Đơn Nữ (cặp)
- 8 Đơn Nam (cặp)
- 8 Đôi Nữ (cặp)
- 8 Đôi Nam (cặp)
- 9 Đôi Nam-Nữ (3 bảng)</t>
  </si>
  <si>
    <t>Trần Đình Thông</t>
  </si>
  <si>
    <t>Nguyễn Văn Thắng</t>
  </si>
  <si>
    <t>Lưu Quốc Việt</t>
  </si>
  <si>
    <t>BĐ_Nữ 
A1-A2</t>
  </si>
  <si>
    <t>BĐ_NAM - Tứ kết1</t>
  </si>
  <si>
    <t>BĐ_NAM - Tứ kết2</t>
  </si>
  <si>
    <t>Phạm Minh Hiếu</t>
  </si>
  <si>
    <t>Vũ Chiến Thắng</t>
  </si>
  <si>
    <t>Lê Hoàng</t>
  </si>
  <si>
    <t>Nguyễn Duy Hoạt</t>
  </si>
  <si>
    <t>BĐ_Nữ 
B1-B2</t>
  </si>
  <si>
    <t>BĐ_NAM - Tứ kết3</t>
  </si>
  <si>
    <t>BĐ_NAM - Tứ kết4</t>
  </si>
  <si>
    <t>Nguyễn Ngọc Sáng</t>
  </si>
  <si>
    <t>Nguyễn Bá Lãm</t>
  </si>
  <si>
    <t>Toàn bộ</t>
  </si>
  <si>
    <t>KHAI MẠC THI NGHIỆP VỤ</t>
  </si>
  <si>
    <t>Nghỉ để thi NGHIỆP VỤ</t>
  </si>
  <si>
    <t>Tập trung làm Nghiệp vụ (trừ team Bóng đá)</t>
  </si>
  <si>
    <t>BĐ_Nữ
 A1-A3</t>
  </si>
  <si>
    <t>BĐ_Nữ 
B1-B3</t>
  </si>
  <si>
    <t>BĐ_NAM - BK1</t>
  </si>
  <si>
    <t>BĐ_NAM - BK2</t>
  </si>
  <si>
    <t>BĐ_Nữ 
A2-A3</t>
  </si>
  <si>
    <t>BĐ_Nữ 
B2-B3</t>
  </si>
  <si>
    <t>Các trận vòng loại:
- 8 Đôi Nữ (cặp)
- 8 Đôi Nam (cặp)
- 8 Đôi Nam-Nữ (cặp)</t>
  </si>
  <si>
    <t>- Vòng loại nếu còn
- Các trận vòng BK-CK</t>
  </si>
  <si>
    <t>- Vòng loại nếu còn
- Các trận vòng Bán kết</t>
  </si>
  <si>
    <t>- Vòng loại nếu còn 
- Các trận vòng BK-CK</t>
  </si>
  <si>
    <t>BĐ_NAM
 3-4</t>
  </si>
  <si>
    <t>BĐ_NỮ
 3-4</t>
  </si>
  <si>
    <t>BĐ_NAM
 CK</t>
  </si>
  <si>
    <t>BĐ_NỮ
 CK</t>
  </si>
  <si>
    <t>Các trận vòng Chung kết</t>
  </si>
  <si>
    <t>Trao giải</t>
  </si>
  <si>
    <t>6 lượt Chung kết</t>
  </si>
  <si>
    <t>4 trận BK-CK</t>
  </si>
  <si>
    <t>CHIỀU 
13h - 15h</t>
  </si>
  <si>
    <t>CÔNG TY CỔ PHẦN TẬP ĐOÀN MƯỜNG THANH</t>
  </si>
  <si>
    <t>Ban Tổ chức Đại hội Mường Thanh 2026 - Ninh Bình</t>
  </si>
  <si>
    <t>Ban Thể thao</t>
  </si>
  <si>
    <t>KẾ HOẠCH TRIỂN KHAI CÁC MÔN THI ĐẤU THỂ THAO</t>
  </si>
  <si>
    <t>MÔN</t>
  </si>
  <si>
    <t>NỘI DUNG</t>
  </si>
  <si>
    <t>THỂ LỆ</t>
  </si>
  <si>
    <t>ĐỊA ĐIỂM</t>
  </si>
  <si>
    <t>TRỌNG TÀI</t>
  </si>
  <si>
    <t>CBNV Mường Thanh hỗ trợ</t>
  </si>
  <si>
    <t>GHI CHÚ</t>
  </si>
  <si>
    <t>Ngày 27.10</t>
  </si>
  <si>
    <t>Ngày 28.10</t>
  </si>
  <si>
    <t>Ngày 29.10</t>
  </si>
  <si>
    <t>Bóng đá sân 7</t>
  </si>
  <si>
    <t>Nam - 8 đội</t>
  </si>
  <si>
    <t>25p/ hiệp</t>
  </si>
  <si>
    <t>Bốc thăm chia cặp, loại trực tiếp tranh 1-2-3-4</t>
  </si>
  <si>
    <t>8 trận</t>
  </si>
  <si>
    <t>Chiều từ 15:00-17:00
3 sân</t>
  </si>
  <si>
    <t>Chiều từ 15:00-18:00
2 sân</t>
  </si>
  <si>
    <t>Sáng từ 7:00 - 9:00
2 sân</t>
  </si>
  <si>
    <t>Tổ hợp Teddy Bear (khu đô thị Xuân Thành)</t>
  </si>
  <si>
    <t>2 trọng tài/ sân</t>
  </si>
  <si>
    <t>1 người/ sân</t>
  </si>
  <si>
    <t>Tối đa 3 sân</t>
  </si>
  <si>
    <t>Nữ - 6 đội</t>
  </si>
  <si>
    <t>20p/ hiệp</t>
  </si>
  <si>
    <t>Bốc thăm chia 2 bảng, đấu vòng tròn. Nhất bảng vào tranh 1-2, nhì bảng vào tranh 3-4</t>
  </si>
  <si>
    <t>Pickleball</t>
  </si>
  <si>
    <t>Đôi Nam - 8 đội</t>
  </si>
  <si>
    <t>3 hiệp thắng 2
(chạm 15đ, ăn điểm trực tiếp)</t>
  </si>
  <si>
    <t>Bốc thăm chia cặp 8 đội, loại trực tiếp tranh 1-2-3-4</t>
  </si>
  <si>
    <t>Nghỉ</t>
  </si>
  <si>
    <t>Chiều tối từ 18:00 -
Vòng loại</t>
  </si>
  <si>
    <t>Sáng từ 7:00 - Vòng Chung kết</t>
  </si>
  <si>
    <t>KS Mường Thanh Ninh Bình</t>
  </si>
  <si>
    <t>1 trọng tài/ sân</t>
  </si>
  <si>
    <t>1 người/ 2 sân</t>
  </si>
  <si>
    <t>2 sân</t>
  </si>
  <si>
    <t>Đôi Nữ - 8 đội</t>
  </si>
  <si>
    <t>Đôi Nam Nữ - 8 đội</t>
  </si>
  <si>
    <t>Ếch Nam 40m</t>
  </si>
  <si>
    <t>10 vđv</t>
  </si>
  <si>
    <t>- Chia 2 vòng bơi: loại &amp; chung kết
- Vòng loại: mỗi nội dung chia 2 lượt
- VCK: TOP 6 mỗi nội dung thi cùng 1 lượt tranh 1-2-3-4</t>
  </si>
  <si>
    <t>3 lượt</t>
  </si>
  <si>
    <t>Chiều từ 14:00 -
Vòng loại</t>
  </si>
  <si>
    <t>Sáng từ 10:00 - Vòng Chung kết</t>
  </si>
  <si>
    <t>Nội bộ Mường Thanh</t>
  </si>
  <si>
    <t>6 làn, dài 40m</t>
  </si>
  <si>
    <t>Ếch Nam 80m</t>
  </si>
  <si>
    <t>11 vđv</t>
  </si>
  <si>
    <t>Tự do Nam 40m</t>
  </si>
  <si>
    <t>Tự do Nam 80m</t>
  </si>
  <si>
    <t>Ếch Nữ 40m</t>
  </si>
  <si>
    <t>9 vđv</t>
  </si>
  <si>
    <t>Tự do Nữ 40m</t>
  </si>
  <si>
    <t>8 vđv</t>
  </si>
  <si>
    <t>Phối hợp 5Nam-5Nữ 
(8 đội)</t>
  </si>
  <si>
    <t>3 hiệp thắng 2</t>
  </si>
  <si>
    <t>Bốc thăm chia 2 bảng:
- Vòng bảng: vòng tròn tính điểm, chọn Nhất-Nhì mỗi bảng
- Bán kết (đấu chéo), chung kết loại trực tiếp tranh 1-2-3-4</t>
  </si>
  <si>
    <t>16 trận</t>
  </si>
  <si>
    <t>Chiều từ 13:00 - 14:00
Vòng loại</t>
  </si>
  <si>
    <t>Sáng từ 11:00 - 11:30 Vòng Chung kết</t>
  </si>
  <si>
    <t>Tổ TT trong Nhà thi đấu</t>
  </si>
  <si>
    <t>3 người hỗ trợ Giám sát VĐV</t>
  </si>
  <si>
    <t>2 đường</t>
  </si>
  <si>
    <t>Đơn Nam - 8 đội</t>
  </si>
  <si>
    <t>- Bốc thăm chia cặp 8 đội, loại trực tiếp tranh 1-2-3-4</t>
  </si>
  <si>
    <t>Chiều từ 14:00 - 18:00
Vòng loại</t>
  </si>
  <si>
    <t>Sáng từ 7:00 - 11:00 Vòng Chung kết</t>
  </si>
  <si>
    <t>3 trọng tài/ sân</t>
  </si>
  <si>
    <t>1 người/ 4 sân</t>
  </si>
  <si>
    <t>4 sân</t>
  </si>
  <si>
    <t>Đơn Nữ - 8 đội</t>
  </si>
  <si>
    <t>Đôi Nam-Nữ - 9 đội</t>
  </si>
  <si>
    <t>1 hiệp chạm 21đ</t>
  </si>
  <si>
    <t>Bốc thăm chia 3 bảng:
- Vòng bảng: vòng tròn tính điểm, chọn nhất bảng
- Chung kết: vòng tròn tính điểm, chọn 1-2-3</t>
  </si>
  <si>
    <t>12 trận</t>
  </si>
  <si>
    <t>Đơn Nữ - 11 đội</t>
  </si>
  <si>
    <t>- Vòng loại (bảng): 3 hiệp thắng 2 (11đ/séc, cách biệt 2đ)
- PO&amp; VCK: 5 hiệp thắng 3 (11đ/séc, cách biệt 2đ)</t>
  </si>
  <si>
    <t>- Vòng loại: Bốc thăm chia 3 bảng, đấu vòng tròn. 
- VCK: Nhất mỗi bảng vào đấu bảng tranh 1-2-3</t>
  </si>
  <si>
    <t>18 trận</t>
  </si>
  <si>
    <t>2 trọng tài/ bàn</t>
  </si>
  <si>
    <t>1 người/ 2 bàn</t>
  </si>
  <si>
    <t>2 bàn</t>
  </si>
  <si>
    <t>- 2 trận play-off
- Bốc thăm chia 2 bảng, đấu vòng tròn. Nhất-nhì mỗi bảng vào loại trực tiếp BK, CK tranh 1-2-3-4</t>
  </si>
  <si>
    <t>Thông tin liên hệ:</t>
  </si>
  <si>
    <t>Ông</t>
  </si>
  <si>
    <t>Vũ Minh Tuấn</t>
  </si>
  <si>
    <t>Trưởng ban</t>
  </si>
  <si>
    <t>0934.269.369</t>
  </si>
  <si>
    <t>Phó ban</t>
  </si>
  <si>
    <t>0948.154.816</t>
  </si>
  <si>
    <t>0986.620.880</t>
  </si>
  <si>
    <t>Bà</t>
  </si>
  <si>
    <t>Lương Tú Anh</t>
  </si>
  <si>
    <t>Phụ trách HĐ</t>
  </si>
  <si>
    <t>0974.951.992</t>
  </si>
  <si>
    <t>Ghi chú:</t>
  </si>
  <si>
    <t>Lễ khai mạc &amp; bế mạc trao giải: tại hội trường khách sạn, kết hợp các event văn nghệ khác, dự kiến 4h/ buổi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</si>
</sst>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38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scheme val="minor"/>
    </font>
    <font>
      <b/>
      <sz val="10"/>
      <color theme="1"/>
      <name val="Arial Narrow"/>
    </font>
    <font>
      <sz val="11"/>
      <name val="Calibri"/>
    </font>
    <font>
      <sz val="11"/>
      <color theme="1"/>
      <name val="Calibri"/>
    </font>
    <font>
      <sz val="10"/>
      <color theme="1"/>
      <name val="Arial Narrow"/>
    </font>
    <font>
      <sz val="10"/>
      <color rgb="FFFF0000"/>
      <name val="Arial Narrow"/>
    </font>
    <font>
      <sz val="11"/>
      <name val="Calibri"/>
      <family val="2"/>
    </font>
    <font>
      <b/>
      <sz val="10"/>
      <color rgb="FFFF0000"/>
      <name val="Arial Narrow"/>
    </font>
    <font>
      <b/>
      <sz val="10"/>
      <color rgb="FFFF0000"/>
      <name val="Arial Narrow"/>
      <family val="2"/>
    </font>
    <font>
      <b/>
      <sz val="20"/>
      <color theme="1"/>
      <name val="Arial"/>
      <family val="2"/>
    </font>
    <font>
      <b/>
      <sz val="50"/>
      <color theme="1"/>
      <name val="Arial"/>
      <family val="2"/>
    </font>
    <font>
      <sz val="11"/>
      <color theme="1"/>
      <name val="Calibri"/>
      <scheme val="minor"/>
    </font>
    <font>
      <b/>
      <sz val="10"/>
      <name val="Arial Narrow"/>
      <family val="2"/>
    </font>
    <font>
      <b/>
      <u/>
      <sz val="10"/>
      <color rgb="FFFF0000"/>
      <name val="Arial Narrow"/>
      <family val="2"/>
    </font>
    <font>
      <sz val="11"/>
      <name val="Calibri"/>
      <family val="2"/>
      <scheme val="minor"/>
    </font>
    <font>
      <sz val="11"/>
      <name val="Arial Narrow"/>
      <family val="2"/>
    </font>
    <font>
      <strike/>
      <sz val="11"/>
      <color theme="1"/>
      <name val="Arial Narrow"/>
      <family val="2"/>
    </font>
    <font>
      <b/>
      <u/>
      <sz val="11"/>
      <color theme="1"/>
      <name val="Arial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8F0"/>
        <bgColor rgb="FFE2E8F0"/>
      </patternFill>
    </fill>
    <fill>
      <patternFill patternType="solid">
        <fgColor rgb="FFF3F4F6"/>
        <bgColor rgb="FFF3F4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B6DDE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B6DDE8"/>
      </patternFill>
    </fill>
    <fill>
      <patternFill patternType="solid">
        <fgColor theme="8" tint="0.79998168889431442"/>
        <bgColor rgb="FFB6DDE8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rgb="FFB6DDE8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rgb="FFB6DD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rgb="FFB6DDE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rgb="FFB6DDE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39997558519241921"/>
        <bgColor rgb="FFB6DDE8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F2DBDB"/>
        <bgColor rgb="FFF2DBDB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theme="9"/>
        <bgColor rgb="FF6FA8DC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rgb="FFAEABAB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E599"/>
        <bgColor rgb="FFFFE599"/>
      </patternFill>
    </fill>
  </fills>
  <borders count="1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20" fillId="0" borderId="6"/>
    <xf numFmtId="0" fontId="2" fillId="0" borderId="6"/>
    <xf numFmtId="0" fontId="2" fillId="0" borderId="6"/>
    <xf numFmtId="0" fontId="10" fillId="0" borderId="6"/>
    <xf numFmtId="0" fontId="31" fillId="0" borderId="6"/>
    <xf numFmtId="0" fontId="1" fillId="0" borderId="6"/>
  </cellStyleXfs>
  <cellXfs count="680">
    <xf numFmtId="0" fontId="0" fillId="0" borderId="0" xfId="0" applyFont="1" applyAlignment="1"/>
    <xf numFmtId="0" fontId="7" fillId="0" borderId="0" xfId="0" applyFont="1"/>
    <xf numFmtId="0" fontId="8" fillId="0" borderId="1" xfId="0" applyFont="1" applyBorder="1"/>
    <xf numFmtId="0" fontId="10" fillId="0" borderId="0" xfId="0" applyFont="1" applyAlignme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4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49" fontId="10" fillId="0" borderId="20" xfId="0" applyNumberFormat="1" applyFont="1" applyBorder="1" applyAlignment="1">
      <alignment vertical="center"/>
    </xf>
    <xf numFmtId="49" fontId="10" fillId="0" borderId="14" xfId="0" applyNumberFormat="1" applyFont="1" applyBorder="1" applyAlignment="1">
      <alignment vertical="center"/>
    </xf>
    <xf numFmtId="49" fontId="10" fillId="0" borderId="17" xfId="0" applyNumberFormat="1" applyFont="1" applyBorder="1" applyAlignment="1">
      <alignment vertical="center"/>
    </xf>
    <xf numFmtId="49" fontId="10" fillId="0" borderId="19" xfId="0" applyNumberFormat="1" applyFont="1" applyBorder="1" applyAlignment="1">
      <alignment vertical="center"/>
    </xf>
    <xf numFmtId="49" fontId="10" fillId="0" borderId="13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vertical="center"/>
    </xf>
    <xf numFmtId="0" fontId="10" fillId="0" borderId="27" xfId="0" applyFont="1" applyBorder="1" applyAlignment="1">
      <alignment horizontal="center" vertical="center"/>
    </xf>
    <xf numFmtId="49" fontId="10" fillId="0" borderId="28" xfId="0" applyNumberFormat="1" applyFont="1" applyBorder="1" applyAlignment="1">
      <alignment vertical="center"/>
    </xf>
    <xf numFmtId="49" fontId="10" fillId="0" borderId="29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0" xfId="0" applyFont="1"/>
    <xf numFmtId="0" fontId="13" fillId="0" borderId="0" xfId="0" applyFont="1"/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vertical="center"/>
    </xf>
    <xf numFmtId="0" fontId="10" fillId="7" borderId="39" xfId="0" applyFont="1" applyFill="1" applyBorder="1" applyAlignment="1">
      <alignment vertical="center"/>
    </xf>
    <xf numFmtId="0" fontId="10" fillId="7" borderId="40" xfId="0" applyFont="1" applyFill="1" applyBorder="1" applyAlignment="1">
      <alignment vertical="center"/>
    </xf>
    <xf numFmtId="0" fontId="10" fillId="8" borderId="39" xfId="0" applyFont="1" applyFill="1" applyBorder="1" applyAlignment="1">
      <alignment vertical="center"/>
    </xf>
    <xf numFmtId="0" fontId="10" fillId="8" borderId="40" xfId="0" applyFont="1" applyFill="1" applyBorder="1" applyAlignment="1">
      <alignment vertical="center"/>
    </xf>
    <xf numFmtId="0" fontId="10" fillId="9" borderId="39" xfId="0" applyFont="1" applyFill="1" applyBorder="1" applyAlignment="1">
      <alignment vertical="center"/>
    </xf>
    <xf numFmtId="0" fontId="10" fillId="9" borderId="40" xfId="0" applyFont="1" applyFill="1" applyBorder="1" applyAlignment="1">
      <alignment vertical="center"/>
    </xf>
    <xf numFmtId="0" fontId="10" fillId="10" borderId="20" xfId="0" applyFont="1" applyFill="1" applyBorder="1" applyAlignment="1">
      <alignment vertical="center"/>
    </xf>
    <xf numFmtId="0" fontId="10" fillId="10" borderId="17" xfId="0" applyFont="1" applyFill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1" fillId="4" borderId="42" xfId="0" applyFont="1" applyFill="1" applyBorder="1" applyAlignment="1">
      <alignment horizontal="center" vertical="center"/>
    </xf>
    <xf numFmtId="0" fontId="11" fillId="4" borderId="52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10" fillId="0" borderId="61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0" fillId="10" borderId="63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vertical="center"/>
    </xf>
    <xf numFmtId="0" fontId="10" fillId="10" borderId="51" xfId="0" applyFont="1" applyFill="1" applyBorder="1" applyAlignment="1">
      <alignment horizontal="center" vertical="center"/>
    </xf>
    <xf numFmtId="0" fontId="10" fillId="10" borderId="40" xfId="0" applyFont="1" applyFill="1" applyBorder="1" applyAlignment="1">
      <alignment vertical="center"/>
    </xf>
    <xf numFmtId="0" fontId="10" fillId="9" borderId="19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vertical="center"/>
    </xf>
    <xf numFmtId="0" fontId="10" fillId="9" borderId="16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vertical="center"/>
    </xf>
    <xf numFmtId="0" fontId="10" fillId="11" borderId="19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vertical="center"/>
    </xf>
    <xf numFmtId="0" fontId="10" fillId="11" borderId="13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vertical="center"/>
    </xf>
    <xf numFmtId="0" fontId="11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1" fillId="5" borderId="56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/>
    </xf>
    <xf numFmtId="0" fontId="10" fillId="18" borderId="20" xfId="0" applyFont="1" applyFill="1" applyBorder="1" applyAlignment="1">
      <alignment vertical="center"/>
    </xf>
    <xf numFmtId="0" fontId="10" fillId="18" borderId="13" xfId="0" applyFont="1" applyFill="1" applyBorder="1" applyAlignment="1">
      <alignment horizontal="center" vertical="center"/>
    </xf>
    <xf numFmtId="0" fontId="10" fillId="18" borderId="14" xfId="0" applyFont="1" applyFill="1" applyBorder="1" applyAlignment="1">
      <alignment vertical="center"/>
    </xf>
    <xf numFmtId="0" fontId="10" fillId="18" borderId="16" xfId="0" applyFont="1" applyFill="1" applyBorder="1" applyAlignment="1">
      <alignment horizontal="center" vertical="center"/>
    </xf>
    <xf numFmtId="0" fontId="10" fillId="18" borderId="17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0" borderId="6" xfId="0" applyFont="1" applyBorder="1"/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19" borderId="21" xfId="0" applyFont="1" applyFill="1" applyBorder="1" applyAlignment="1">
      <alignment horizontal="center" vertical="center"/>
    </xf>
    <xf numFmtId="0" fontId="11" fillId="19" borderId="22" xfId="0" applyFont="1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0" fillId="0" borderId="63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10" fillId="0" borderId="0" xfId="0" quotePrefix="1" applyFont="1" applyAlignment="1">
      <alignment vertical="center"/>
    </xf>
    <xf numFmtId="0" fontId="10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vertical="center"/>
    </xf>
    <xf numFmtId="0" fontId="10" fillId="26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vertical="center"/>
    </xf>
    <xf numFmtId="0" fontId="11" fillId="0" borderId="79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7" fillId="0" borderId="1" xfId="0" applyFont="1" applyBorder="1"/>
    <xf numFmtId="0" fontId="19" fillId="0" borderId="1" xfId="0" quotePrefix="1" applyFont="1" applyBorder="1"/>
    <xf numFmtId="0" fontId="7" fillId="0" borderId="1" xfId="0" applyFont="1" applyBorder="1" applyAlignment="1">
      <alignment vertical="center"/>
    </xf>
    <xf numFmtId="0" fontId="10" fillId="0" borderId="83" xfId="0" applyFont="1" applyBorder="1" applyAlignment="1">
      <alignment vertical="center"/>
    </xf>
    <xf numFmtId="0" fontId="10" fillId="0" borderId="83" xfId="0" applyFont="1" applyBorder="1" applyAlignment="1">
      <alignment horizontal="center" vertical="center"/>
    </xf>
    <xf numFmtId="0" fontId="10" fillId="5" borderId="83" xfId="0" applyFont="1" applyFill="1" applyBorder="1" applyAlignment="1">
      <alignment vertical="center"/>
    </xf>
    <xf numFmtId="0" fontId="10" fillId="11" borderId="11" xfId="0" applyFont="1" applyFill="1" applyBorder="1" applyAlignment="1">
      <alignment vertical="center"/>
    </xf>
    <xf numFmtId="0" fontId="10" fillId="16" borderId="83" xfId="0" applyFont="1" applyFill="1" applyBorder="1" applyAlignment="1">
      <alignment horizontal="center" vertical="center"/>
    </xf>
    <xf numFmtId="0" fontId="10" fillId="16" borderId="83" xfId="0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1" fillId="5" borderId="43" xfId="0" applyFont="1" applyFill="1" applyBorder="1" applyAlignment="1">
      <alignment vertical="center"/>
    </xf>
    <xf numFmtId="0" fontId="21" fillId="28" borderId="83" xfId="1" applyFont="1" applyFill="1" applyBorder="1" applyAlignment="1">
      <alignment horizontal="center" vertical="center" wrapText="1"/>
    </xf>
    <xf numFmtId="0" fontId="21" fillId="30" borderId="83" xfId="1" applyFont="1" applyFill="1" applyBorder="1" applyAlignment="1">
      <alignment horizontal="center" vertical="center" wrapText="1"/>
    </xf>
    <xf numFmtId="0" fontId="23" fillId="0" borderId="6" xfId="1" applyFont="1" applyAlignment="1">
      <alignment vertical="center"/>
    </xf>
    <xf numFmtId="0" fontId="0" fillId="0" borderId="6" xfId="1" applyFont="1" applyAlignment="1"/>
    <xf numFmtId="0" fontId="21" fillId="29" borderId="83" xfId="1" applyFont="1" applyFill="1" applyBorder="1" applyAlignment="1">
      <alignment horizontal="center" vertical="center" wrapText="1"/>
    </xf>
    <xf numFmtId="0" fontId="21" fillId="28" borderId="83" xfId="1" applyFont="1" applyFill="1" applyBorder="1" applyAlignment="1">
      <alignment horizontal="center" vertical="center"/>
    </xf>
    <xf numFmtId="0" fontId="21" fillId="2" borderId="83" xfId="1" applyFont="1" applyFill="1" applyBorder="1" applyAlignment="1">
      <alignment horizontal="center" vertical="center" wrapText="1"/>
    </xf>
    <xf numFmtId="0" fontId="21" fillId="31" borderId="83" xfId="1" applyFont="1" applyFill="1" applyBorder="1" applyAlignment="1">
      <alignment vertical="center"/>
    </xf>
    <xf numFmtId="0" fontId="21" fillId="2" borderId="83" xfId="1" applyFont="1" applyFill="1" applyBorder="1" applyAlignment="1">
      <alignment vertical="center"/>
    </xf>
    <xf numFmtId="0" fontId="21" fillId="0" borderId="83" xfId="1" applyFont="1" applyBorder="1" applyAlignment="1">
      <alignment vertical="center"/>
    </xf>
    <xf numFmtId="0" fontId="24" fillId="0" borderId="83" xfId="1" applyFont="1" applyBorder="1" applyAlignment="1">
      <alignment horizontal="center" vertical="center" wrapText="1"/>
    </xf>
    <xf numFmtId="0" fontId="24" fillId="30" borderId="83" xfId="1" applyFont="1" applyFill="1" applyBorder="1" applyAlignment="1">
      <alignment horizontal="center" vertical="center" wrapText="1"/>
    </xf>
    <xf numFmtId="0" fontId="24" fillId="0" borderId="83" xfId="1" applyFont="1" applyBorder="1" applyAlignment="1">
      <alignment vertical="center"/>
    </xf>
    <xf numFmtId="0" fontId="25" fillId="0" borderId="83" xfId="1" applyFont="1" applyBorder="1" applyAlignment="1">
      <alignment horizontal="center" vertical="center" wrapText="1"/>
    </xf>
    <xf numFmtId="0" fontId="12" fillId="32" borderId="83" xfId="1" quotePrefix="1" applyFont="1" applyFill="1" applyBorder="1" applyAlignment="1">
      <alignment horizontal="left" vertical="center" wrapText="1"/>
    </xf>
    <xf numFmtId="0" fontId="0" fillId="0" borderId="83" xfId="1" applyFont="1" applyBorder="1" applyAlignment="1"/>
    <xf numFmtId="0" fontId="12" fillId="33" borderId="83" xfId="1" quotePrefix="1" applyFont="1" applyFill="1" applyBorder="1" applyAlignment="1">
      <alignment horizontal="right" vertical="center" wrapText="1"/>
    </xf>
    <xf numFmtId="0" fontId="23" fillId="0" borderId="83" xfId="1" applyFont="1" applyBorder="1" applyAlignment="1">
      <alignment vertical="center"/>
    </xf>
    <xf numFmtId="0" fontId="12" fillId="0" borderId="83" xfId="1" applyFont="1" applyBorder="1" applyAlignment="1">
      <alignment horizontal="right" vertical="center" wrapText="1"/>
    </xf>
    <xf numFmtId="0" fontId="3" fillId="0" borderId="83" xfId="1" applyFont="1" applyBorder="1" applyAlignment="1">
      <alignment horizontal="right" vertical="center" wrapText="1"/>
    </xf>
    <xf numFmtId="0" fontId="12" fillId="33" borderId="83" xfId="1" quotePrefix="1" applyFont="1" applyFill="1" applyBorder="1" applyAlignment="1">
      <alignment horizontal="left" vertical="center" wrapText="1"/>
    </xf>
    <xf numFmtId="0" fontId="3" fillId="32" borderId="83" xfId="1" quotePrefix="1" applyFont="1" applyFill="1" applyBorder="1" applyAlignment="1">
      <alignment horizontal="left" vertical="center" wrapText="1"/>
    </xf>
    <xf numFmtId="0" fontId="24" fillId="35" borderId="83" xfId="1" applyFont="1" applyFill="1" applyBorder="1" applyAlignment="1">
      <alignment horizontal="center" vertical="center"/>
    </xf>
    <xf numFmtId="0" fontId="12" fillId="32" borderId="83" xfId="1" quotePrefix="1" applyFont="1" applyFill="1" applyBorder="1" applyAlignment="1">
      <alignment horizontal="center" vertical="center" wrapText="1"/>
    </xf>
    <xf numFmtId="0" fontId="22" fillId="0" borderId="83" xfId="1" applyFont="1" applyBorder="1" applyAlignment="1"/>
    <xf numFmtId="0" fontId="24" fillId="0" borderId="83" xfId="1" applyFont="1" applyBorder="1" applyAlignment="1">
      <alignment vertical="center" wrapText="1"/>
    </xf>
    <xf numFmtId="0" fontId="24" fillId="33" borderId="83" xfId="1" quotePrefix="1" applyFont="1" applyFill="1" applyBorder="1" applyAlignment="1">
      <alignment horizontal="right" vertical="center" wrapText="1"/>
    </xf>
    <xf numFmtId="0" fontId="27" fillId="0" borderId="83" xfId="1" applyFont="1" applyBorder="1" applyAlignment="1">
      <alignment horizontal="center" vertical="center" wrapText="1"/>
    </xf>
    <xf numFmtId="20" fontId="21" fillId="0" borderId="83" xfId="1" applyNumberFormat="1" applyFont="1" applyBorder="1" applyAlignment="1">
      <alignment horizontal="center" vertical="center"/>
    </xf>
    <xf numFmtId="0" fontId="24" fillId="36" borderId="83" xfId="1" applyFont="1" applyFill="1" applyBorder="1" applyAlignment="1">
      <alignment horizontal="center" vertical="center"/>
    </xf>
    <xf numFmtId="0" fontId="28" fillId="2" borderId="83" xfId="1" applyFont="1" applyFill="1" applyBorder="1" applyAlignment="1">
      <alignment horizontal="center" vertical="center" wrapText="1"/>
    </xf>
    <xf numFmtId="20" fontId="24" fillId="0" borderId="83" xfId="1" applyNumberFormat="1" applyFont="1" applyBorder="1" applyAlignment="1">
      <alignment horizontal="center" vertical="center"/>
    </xf>
    <xf numFmtId="0" fontId="3" fillId="34" borderId="83" xfId="1" quotePrefix="1" applyFont="1" applyFill="1" applyBorder="1" applyAlignment="1">
      <alignment horizontal="center" vertical="center" wrapText="1"/>
    </xf>
    <xf numFmtId="0" fontId="3" fillId="0" borderId="83" xfId="1" applyFont="1" applyBorder="1" applyAlignment="1">
      <alignment horizontal="center" vertical="center" wrapText="1"/>
    </xf>
    <xf numFmtId="0" fontId="3" fillId="34" borderId="83" xfId="1" applyFont="1" applyFill="1" applyBorder="1" applyAlignment="1">
      <alignment horizontal="center" vertical="center" wrapText="1"/>
    </xf>
    <xf numFmtId="0" fontId="24" fillId="33" borderId="83" xfId="1" quotePrefix="1" applyFont="1" applyFill="1" applyBorder="1" applyAlignment="1">
      <alignment horizontal="center" vertical="center" wrapText="1"/>
    </xf>
    <xf numFmtId="0" fontId="24" fillId="32" borderId="83" xfId="1" applyFont="1" applyFill="1" applyBorder="1" applyAlignment="1">
      <alignment horizontal="center" vertical="center" wrapText="1"/>
    </xf>
    <xf numFmtId="0" fontId="24" fillId="34" borderId="83" xfId="1" quotePrefix="1" applyFont="1" applyFill="1" applyBorder="1" applyAlignment="1">
      <alignment horizontal="center" vertical="center" wrapText="1"/>
    </xf>
    <xf numFmtId="0" fontId="24" fillId="36" borderId="83" xfId="1" quotePrefix="1" applyFont="1" applyFill="1" applyBorder="1" applyAlignment="1">
      <alignment horizontal="center" vertical="center" wrapText="1"/>
    </xf>
    <xf numFmtId="0" fontId="24" fillId="0" borderId="83" xfId="1" quotePrefix="1" applyFont="1" applyBorder="1" applyAlignment="1">
      <alignment horizontal="center" vertical="center" wrapText="1"/>
    </xf>
    <xf numFmtId="0" fontId="24" fillId="35" borderId="83" xfId="1" applyFont="1" applyFill="1" applyBorder="1" applyAlignment="1">
      <alignment horizontal="center" vertical="center" wrapText="1"/>
    </xf>
    <xf numFmtId="20" fontId="21" fillId="37" borderId="83" xfId="1" applyNumberFormat="1" applyFont="1" applyFill="1" applyBorder="1" applyAlignment="1">
      <alignment vertical="center" wrapText="1"/>
    </xf>
    <xf numFmtId="0" fontId="24" fillId="37" borderId="83" xfId="1" applyFont="1" applyFill="1" applyBorder="1" applyAlignment="1">
      <alignment vertical="center"/>
    </xf>
    <xf numFmtId="20" fontId="21" fillId="37" borderId="83" xfId="1" applyNumberFormat="1" applyFont="1" applyFill="1" applyBorder="1" applyAlignment="1">
      <alignment horizontal="center" vertical="center" wrapText="1"/>
    </xf>
    <xf numFmtId="0" fontId="24" fillId="0" borderId="6" xfId="1" applyFont="1" applyAlignment="1">
      <alignment horizontal="center" vertical="center"/>
    </xf>
    <xf numFmtId="0" fontId="24" fillId="36" borderId="6" xfId="1" applyFont="1" applyFill="1" applyBorder="1" applyAlignment="1">
      <alignment horizontal="center" vertical="center"/>
    </xf>
    <xf numFmtId="0" fontId="24" fillId="0" borderId="6" xfId="1" applyFont="1" applyAlignment="1">
      <alignment vertical="center"/>
    </xf>
    <xf numFmtId="0" fontId="23" fillId="0" borderId="6" xfId="1" applyFont="1" applyAlignment="1">
      <alignment horizontal="center" vertical="center"/>
    </xf>
    <xf numFmtId="0" fontId="29" fillId="0" borderId="6" xfId="2" applyFont="1" applyAlignment="1">
      <alignment vertical="center"/>
    </xf>
    <xf numFmtId="0" fontId="29" fillId="0" borderId="6" xfId="2" applyFont="1" applyFill="1" applyAlignment="1">
      <alignment horizontal="center" vertical="center"/>
    </xf>
    <xf numFmtId="0" fontId="30" fillId="0" borderId="83" xfId="2" applyFont="1" applyBorder="1" applyAlignment="1">
      <alignment horizontal="center" vertical="center"/>
    </xf>
    <xf numFmtId="0" fontId="29" fillId="0" borderId="6" xfId="2" applyFont="1" applyAlignment="1">
      <alignment horizontal="center" vertical="center"/>
    </xf>
    <xf numFmtId="0" fontId="3" fillId="0" borderId="6" xfId="3" applyFont="1" applyAlignment="1">
      <alignment vertical="center"/>
    </xf>
    <xf numFmtId="0" fontId="11" fillId="39" borderId="87" xfId="4" applyFont="1" applyFill="1" applyBorder="1" applyAlignment="1">
      <alignment horizontal="center" vertical="center" wrapText="1"/>
    </xf>
    <xf numFmtId="0" fontId="11" fillId="39" borderId="88" xfId="4" applyFont="1" applyFill="1" applyBorder="1" applyAlignment="1">
      <alignment horizontal="center" vertical="center" wrapText="1"/>
    </xf>
    <xf numFmtId="0" fontId="11" fillId="40" borderId="88" xfId="4" applyFont="1" applyFill="1" applyBorder="1" applyAlignment="1">
      <alignment horizontal="center" vertical="center" wrapText="1"/>
    </xf>
    <xf numFmtId="0" fontId="10" fillId="0" borderId="89" xfId="4" applyFont="1" applyBorder="1" applyAlignment="1">
      <alignment horizontal="center" vertical="center"/>
    </xf>
    <xf numFmtId="0" fontId="10" fillId="0" borderId="90" xfId="4" applyFont="1" applyBorder="1" applyAlignment="1">
      <alignment vertical="center"/>
    </xf>
    <xf numFmtId="0" fontId="10" fillId="0" borderId="90" xfId="4" applyFont="1" applyBorder="1" applyAlignment="1">
      <alignment horizontal="center" vertical="center"/>
    </xf>
    <xf numFmtId="0" fontId="10" fillId="38" borderId="90" xfId="4" applyFont="1" applyFill="1" applyBorder="1" applyAlignment="1">
      <alignment horizontal="center" vertical="center"/>
    </xf>
    <xf numFmtId="0" fontId="10" fillId="0" borderId="91" xfId="4" applyFont="1" applyBorder="1" applyAlignment="1">
      <alignment vertical="center"/>
    </xf>
    <xf numFmtId="0" fontId="10" fillId="0" borderId="91" xfId="4" applyFont="1" applyBorder="1" applyAlignment="1">
      <alignment horizontal="center" vertical="center"/>
    </xf>
    <xf numFmtId="0" fontId="10" fillId="38" borderId="91" xfId="4" applyFont="1" applyFill="1" applyBorder="1" applyAlignment="1">
      <alignment horizontal="center" vertical="center"/>
    </xf>
    <xf numFmtId="0" fontId="3" fillId="38" borderId="6" xfId="3" applyFont="1" applyFill="1" applyAlignment="1">
      <alignment vertical="center"/>
    </xf>
    <xf numFmtId="0" fontId="3" fillId="0" borderId="6" xfId="5" applyFont="1" applyAlignment="1">
      <alignment horizontal="left" vertical="center"/>
    </xf>
    <xf numFmtId="0" fontId="3" fillId="0" borderId="6" xfId="5" applyFont="1" applyAlignment="1">
      <alignment vertical="center"/>
    </xf>
    <xf numFmtId="0" fontId="3" fillId="0" borderId="6" xfId="5" applyFont="1" applyAlignment="1">
      <alignment horizontal="center" vertical="center"/>
    </xf>
    <xf numFmtId="0" fontId="3" fillId="0" borderId="6" xfId="5" applyFont="1" applyAlignment="1">
      <alignment horizontal="right" vertical="center"/>
    </xf>
    <xf numFmtId="0" fontId="5" fillId="0" borderId="83" xfId="5" applyFont="1" applyBorder="1" applyAlignment="1">
      <alignment horizontal="center" vertical="center"/>
    </xf>
    <xf numFmtId="0" fontId="3" fillId="0" borderId="83" xfId="5" applyFont="1" applyBorder="1" applyAlignment="1">
      <alignment vertical="center"/>
    </xf>
    <xf numFmtId="0" fontId="5" fillId="0" borderId="83" xfId="5" applyFont="1" applyBorder="1" applyAlignment="1">
      <alignment vertical="center"/>
    </xf>
    <xf numFmtId="0" fontId="5" fillId="0" borderId="6" xfId="5" applyFont="1" applyAlignment="1">
      <alignment vertical="center"/>
    </xf>
    <xf numFmtId="0" fontId="3" fillId="0" borderId="83" xfId="5" applyFont="1" applyBorder="1" applyAlignment="1">
      <alignment horizontal="center" vertical="center"/>
    </xf>
    <xf numFmtId="0" fontId="3" fillId="0" borderId="83" xfId="5" quotePrefix="1" applyFont="1" applyBorder="1" applyAlignment="1">
      <alignment horizontal="center" vertical="center"/>
    </xf>
    <xf numFmtId="164" fontId="3" fillId="0" borderId="83" xfId="5" applyNumberFormat="1" applyFont="1" applyBorder="1" applyAlignment="1">
      <alignment horizontal="center" vertical="center"/>
    </xf>
    <xf numFmtId="165" fontId="3" fillId="0" borderId="83" xfId="5" applyNumberFormat="1" applyFont="1" applyBorder="1" applyAlignment="1">
      <alignment horizontal="center" vertical="center"/>
    </xf>
    <xf numFmtId="0" fontId="3" fillId="0" borderId="83" xfId="5" applyFont="1" applyBorder="1" applyAlignment="1">
      <alignment vertical="center" wrapText="1"/>
    </xf>
    <xf numFmtId="0" fontId="12" fillId="0" borderId="83" xfId="5" applyFont="1" applyBorder="1" applyAlignment="1">
      <alignment horizontal="center" vertical="center"/>
    </xf>
    <xf numFmtId="0" fontId="3" fillId="0" borderId="83" xfId="5" applyFont="1" applyBorder="1" applyAlignment="1">
      <alignment horizontal="center" vertical="center" wrapText="1"/>
    </xf>
    <xf numFmtId="164" fontId="3" fillId="0" borderId="83" xfId="5" quotePrefix="1" applyNumberFormat="1" applyFont="1" applyBorder="1" applyAlignment="1">
      <alignment horizontal="center" vertical="center"/>
    </xf>
    <xf numFmtId="0" fontId="3" fillId="0" borderId="6" xfId="5" applyFont="1" applyBorder="1" applyAlignment="1">
      <alignment vertical="center"/>
    </xf>
    <xf numFmtId="0" fontId="10" fillId="0" borderId="83" xfId="5" applyFont="1" applyBorder="1" applyAlignment="1">
      <alignment horizontal="center" vertical="center"/>
    </xf>
    <xf numFmtId="0" fontId="32" fillId="28" borderId="83" xfId="5" applyFont="1" applyFill="1" applyBorder="1" applyAlignment="1">
      <alignment horizontal="center" vertical="center" wrapText="1"/>
    </xf>
    <xf numFmtId="0" fontId="32" fillId="42" borderId="83" xfId="5" applyFont="1" applyFill="1" applyBorder="1" applyAlignment="1">
      <alignment horizontal="center" vertical="center" wrapText="1"/>
    </xf>
    <xf numFmtId="0" fontId="34" fillId="0" borderId="6" xfId="5" applyFont="1" applyBorder="1" applyAlignment="1">
      <alignment vertical="center"/>
    </xf>
    <xf numFmtId="0" fontId="32" fillId="41" borderId="83" xfId="5" applyFont="1" applyFill="1" applyBorder="1" applyAlignment="1">
      <alignment horizontal="center" vertical="center" wrapText="1"/>
    </xf>
    <xf numFmtId="0" fontId="32" fillId="28" borderId="83" xfId="5" applyFont="1" applyFill="1" applyBorder="1" applyAlignment="1">
      <alignment horizontal="center" vertical="center"/>
    </xf>
    <xf numFmtId="0" fontId="32" fillId="2" borderId="83" xfId="5" applyFont="1" applyFill="1" applyBorder="1" applyAlignment="1">
      <alignment horizontal="center" vertical="center"/>
    </xf>
    <xf numFmtId="0" fontId="32" fillId="2" borderId="83" xfId="5" applyFont="1" applyFill="1" applyBorder="1" applyAlignment="1">
      <alignment horizontal="center" vertical="center" wrapText="1"/>
    </xf>
    <xf numFmtId="0" fontId="32" fillId="31" borderId="83" xfId="5" applyFont="1" applyFill="1" applyBorder="1" applyAlignment="1">
      <alignment vertical="center"/>
    </xf>
    <xf numFmtId="0" fontId="32" fillId="5" borderId="83" xfId="5" applyFont="1" applyFill="1" applyBorder="1" applyAlignment="1">
      <alignment vertical="center"/>
    </xf>
    <xf numFmtId="0" fontId="34" fillId="0" borderId="6" xfId="5" applyFont="1" applyFill="1" applyBorder="1" applyAlignment="1">
      <alignment vertical="center"/>
    </xf>
    <xf numFmtId="20" fontId="32" fillId="5" borderId="84" xfId="5" applyNumberFormat="1" applyFont="1" applyFill="1" applyBorder="1" applyAlignment="1">
      <alignment horizontal="center" vertical="center"/>
    </xf>
    <xf numFmtId="20" fontId="12" fillId="0" borderId="83" xfId="5" applyNumberFormat="1" applyFont="1" applyFill="1" applyBorder="1" applyAlignment="1">
      <alignment horizontal="center" vertical="center"/>
    </xf>
    <xf numFmtId="0" fontId="32" fillId="0" borderId="83" xfId="5" applyFont="1" applyFill="1" applyBorder="1" applyAlignment="1">
      <alignment vertical="center"/>
    </xf>
    <xf numFmtId="0" fontId="12" fillId="0" borderId="83" xfId="5" applyFont="1" applyFill="1" applyBorder="1" applyAlignment="1">
      <alignment horizontal="center" vertical="center"/>
    </xf>
    <xf numFmtId="20" fontId="32" fillId="0" borderId="83" xfId="5" applyNumberFormat="1" applyFont="1" applyFill="1" applyBorder="1" applyAlignment="1">
      <alignment horizontal="center" vertical="center"/>
    </xf>
    <xf numFmtId="20" fontId="32" fillId="0" borderId="83" xfId="5" applyNumberFormat="1" applyFont="1" applyBorder="1" applyAlignment="1">
      <alignment horizontal="center" vertical="center"/>
    </xf>
    <xf numFmtId="0" fontId="12" fillId="42" borderId="83" xfId="5" applyFont="1" applyFill="1" applyBorder="1" applyAlignment="1">
      <alignment horizontal="center" vertical="center" wrapText="1"/>
    </xf>
    <xf numFmtId="0" fontId="34" fillId="0" borderId="83" xfId="5" applyFont="1" applyBorder="1" applyAlignment="1">
      <alignment vertical="center"/>
    </xf>
    <xf numFmtId="0" fontId="12" fillId="43" borderId="94" xfId="5" quotePrefix="1" applyFont="1" applyFill="1" applyBorder="1" applyAlignment="1">
      <alignment vertical="center" wrapText="1"/>
    </xf>
    <xf numFmtId="0" fontId="12" fillId="7" borderId="94" xfId="5" quotePrefix="1" applyFont="1" applyFill="1" applyBorder="1" applyAlignment="1">
      <alignment vertical="center" wrapText="1"/>
    </xf>
    <xf numFmtId="20" fontId="12" fillId="0" borderId="83" xfId="5" applyNumberFormat="1" applyFont="1" applyBorder="1" applyAlignment="1">
      <alignment horizontal="center" vertical="center"/>
    </xf>
    <xf numFmtId="0" fontId="12" fillId="5" borderId="83" xfId="5" applyFont="1" applyFill="1" applyBorder="1" applyAlignment="1">
      <alignment horizontal="center" vertical="center"/>
    </xf>
    <xf numFmtId="0" fontId="12" fillId="35" borderId="83" xfId="5" applyFont="1" applyFill="1" applyBorder="1" applyAlignment="1">
      <alignment horizontal="center" vertical="center"/>
    </xf>
    <xf numFmtId="0" fontId="12" fillId="0" borderId="83" xfId="5" applyFont="1" applyBorder="1" applyAlignment="1">
      <alignment vertical="center"/>
    </xf>
    <xf numFmtId="20" fontId="32" fillId="5" borderId="83" xfId="5" applyNumberFormat="1" applyFont="1" applyFill="1" applyBorder="1" applyAlignment="1">
      <alignment horizontal="center" vertical="center"/>
    </xf>
    <xf numFmtId="0" fontId="32" fillId="45" borderId="83" xfId="5" applyFont="1" applyFill="1" applyBorder="1" applyAlignment="1">
      <alignment vertical="center"/>
    </xf>
    <xf numFmtId="0" fontId="32" fillId="46" borderId="83" xfId="5" applyFont="1" applyFill="1" applyBorder="1" applyAlignment="1">
      <alignment vertical="center"/>
    </xf>
    <xf numFmtId="0" fontId="32" fillId="46" borderId="83" xfId="5" applyFont="1" applyFill="1" applyBorder="1" applyAlignment="1">
      <alignment horizontal="center" vertical="center"/>
    </xf>
    <xf numFmtId="0" fontId="12" fillId="36" borderId="83" xfId="5" applyFont="1" applyFill="1" applyBorder="1" applyAlignment="1">
      <alignment horizontal="center" vertical="center"/>
    </xf>
    <xf numFmtId="0" fontId="28" fillId="48" borderId="85" xfId="5" applyFont="1" applyFill="1" applyBorder="1" applyAlignment="1">
      <alignment horizontal="center" vertical="center" wrapText="1"/>
    </xf>
    <xf numFmtId="0" fontId="28" fillId="5" borderId="83" xfId="5" applyFont="1" applyFill="1" applyBorder="1" applyAlignment="1">
      <alignment horizontal="center" vertical="center"/>
    </xf>
    <xf numFmtId="0" fontId="26" fillId="0" borderId="83" xfId="5" applyFont="1" applyBorder="1" applyAlignment="1">
      <alignment vertical="center"/>
    </xf>
    <xf numFmtId="20" fontId="32" fillId="37" borderId="83" xfId="5" applyNumberFormat="1" applyFont="1" applyFill="1" applyBorder="1" applyAlignment="1">
      <alignment vertical="center" wrapText="1"/>
    </xf>
    <xf numFmtId="0" fontId="12" fillId="37" borderId="83" xfId="5" applyFont="1" applyFill="1" applyBorder="1" applyAlignment="1">
      <alignment vertical="center"/>
    </xf>
    <xf numFmtId="20" fontId="32" fillId="37" borderId="83" xfId="5" applyNumberFormat="1" applyFont="1" applyFill="1" applyBorder="1" applyAlignment="1">
      <alignment horizontal="center" vertical="center" wrapText="1"/>
    </xf>
    <xf numFmtId="0" fontId="28" fillId="5" borderId="83" xfId="5" applyFont="1" applyFill="1" applyBorder="1" applyAlignment="1">
      <alignment vertical="center"/>
    </xf>
    <xf numFmtId="0" fontId="12" fillId="0" borderId="6" xfId="5" applyFont="1" applyBorder="1" applyAlignment="1">
      <alignment horizontal="center" vertical="center"/>
    </xf>
    <xf numFmtId="0" fontId="12" fillId="36" borderId="6" xfId="5" applyFont="1" applyFill="1" applyBorder="1" applyAlignment="1">
      <alignment horizontal="center" vertical="center"/>
    </xf>
    <xf numFmtId="0" fontId="12" fillId="0" borderId="6" xfId="5" applyFont="1" applyBorder="1" applyAlignment="1">
      <alignment vertical="center"/>
    </xf>
    <xf numFmtId="0" fontId="34" fillId="0" borderId="6" xfId="5" applyFont="1" applyBorder="1" applyAlignment="1">
      <alignment horizontal="center" vertical="center"/>
    </xf>
    <xf numFmtId="0" fontId="8" fillId="0" borderId="6" xfId="6" applyFont="1" applyAlignment="1">
      <alignment horizontal="left" vertical="center"/>
    </xf>
    <xf numFmtId="0" fontId="8" fillId="0" borderId="6" xfId="6" applyFont="1" applyAlignment="1">
      <alignment horizontal="center" vertical="center"/>
    </xf>
    <xf numFmtId="0" fontId="8" fillId="0" borderId="6" xfId="6" applyFont="1" applyAlignment="1">
      <alignment vertical="center"/>
    </xf>
    <xf numFmtId="0" fontId="17" fillId="0" borderId="108" xfId="6" applyFont="1" applyBorder="1" applyAlignment="1">
      <alignment horizontal="center" vertical="center"/>
    </xf>
    <xf numFmtId="0" fontId="8" fillId="0" borderId="112" xfId="6" applyFont="1" applyBorder="1" applyAlignment="1">
      <alignment vertical="center"/>
    </xf>
    <xf numFmtId="0" fontId="35" fillId="0" borderId="112" xfId="6" applyFont="1" applyBorder="1" applyAlignment="1">
      <alignment vertical="center"/>
    </xf>
    <xf numFmtId="0" fontId="8" fillId="0" borderId="112" xfId="6" applyFont="1" applyBorder="1" applyAlignment="1">
      <alignment vertical="center" wrapText="1"/>
    </xf>
    <xf numFmtId="0" fontId="8" fillId="0" borderId="112" xfId="6" applyFont="1" applyBorder="1" applyAlignment="1">
      <alignment horizontal="center" vertical="center" wrapText="1"/>
    </xf>
    <xf numFmtId="0" fontId="8" fillId="0" borderId="112" xfId="6" applyFont="1" applyBorder="1" applyAlignment="1">
      <alignment horizontal="center" vertical="center"/>
    </xf>
    <xf numFmtId="0" fontId="8" fillId="0" borderId="112" xfId="6" quotePrefix="1" applyFont="1" applyBorder="1" applyAlignment="1">
      <alignment vertical="center" wrapText="1"/>
    </xf>
    <xf numFmtId="0" fontId="8" fillId="0" borderId="112" xfId="6" quotePrefix="1" applyFont="1" applyBorder="1" applyAlignment="1">
      <alignment horizontal="left" vertical="center" wrapText="1"/>
    </xf>
    <xf numFmtId="0" fontId="8" fillId="0" borderId="111" xfId="6" applyFont="1" applyBorder="1" applyAlignment="1">
      <alignment horizontal="center" vertical="center"/>
    </xf>
    <xf numFmtId="0" fontId="8" fillId="0" borderId="125" xfId="6" applyFont="1" applyBorder="1" applyAlignment="1">
      <alignment horizontal="center" vertical="center" wrapText="1"/>
    </xf>
    <xf numFmtId="0" fontId="8" fillId="0" borderId="126" xfId="6" applyFont="1" applyBorder="1" applyAlignment="1">
      <alignment horizontal="center" vertical="center"/>
    </xf>
    <xf numFmtId="0" fontId="8" fillId="0" borderId="112" xfId="6" applyFont="1" applyFill="1" applyBorder="1" applyAlignment="1">
      <alignment vertical="center" wrapText="1"/>
    </xf>
    <xf numFmtId="0" fontId="8" fillId="0" borderId="112" xfId="6" applyFont="1" applyBorder="1" applyAlignment="1">
      <alignment horizontal="left" vertical="center" wrapText="1"/>
    </xf>
    <xf numFmtId="0" fontId="8" fillId="0" borderId="113" xfId="6" applyFont="1" applyBorder="1" applyAlignment="1">
      <alignment vertical="center" wrapText="1"/>
    </xf>
    <xf numFmtId="0" fontId="36" fillId="0" borderId="108" xfId="6" applyFont="1" applyBorder="1" applyAlignment="1">
      <alignment vertical="center"/>
    </xf>
    <xf numFmtId="0" fontId="36" fillId="0" borderId="109" xfId="6" applyFont="1" applyBorder="1" applyAlignment="1">
      <alignment horizontal="left" vertical="center" wrapText="1"/>
    </xf>
    <xf numFmtId="0" fontId="36" fillId="0" borderId="108" xfId="6" applyFont="1" applyBorder="1" applyAlignment="1">
      <alignment horizontal="center" vertical="center" wrapText="1"/>
    </xf>
    <xf numFmtId="0" fontId="37" fillId="0" borderId="6" xfId="6" applyFont="1" applyAlignment="1">
      <alignment horizontal="left" vertical="center"/>
    </xf>
    <xf numFmtId="0" fontId="37" fillId="0" borderId="6" xfId="6" applyFont="1" applyAlignment="1">
      <alignment horizontal="center" vertical="center"/>
    </xf>
    <xf numFmtId="0" fontId="8" fillId="0" borderId="113" xfId="6" applyFont="1" applyBorder="1" applyAlignment="1">
      <alignment horizontal="center" vertical="center" wrapText="1"/>
    </xf>
    <xf numFmtId="0" fontId="8" fillId="0" borderId="95" xfId="6" applyFont="1" applyBorder="1" applyAlignment="1">
      <alignment horizontal="center" vertical="center" wrapText="1"/>
    </xf>
    <xf numFmtId="0" fontId="8" fillId="0" borderId="109" xfId="6" applyFont="1" applyBorder="1" applyAlignment="1">
      <alignment horizontal="center" vertical="center" wrapText="1"/>
    </xf>
    <xf numFmtId="0" fontId="8" fillId="0" borderId="114" xfId="6" applyFont="1" applyBorder="1" applyAlignment="1">
      <alignment horizontal="center" vertical="center"/>
    </xf>
    <xf numFmtId="0" fontId="8" fillId="0" borderId="119" xfId="6" applyFont="1" applyBorder="1" applyAlignment="1">
      <alignment horizontal="center" vertical="center"/>
    </xf>
    <xf numFmtId="0" fontId="8" fillId="0" borderId="128" xfId="6" applyFont="1" applyBorder="1" applyAlignment="1">
      <alignment horizontal="center" vertical="center"/>
    </xf>
    <xf numFmtId="0" fontId="8" fillId="0" borderId="115" xfId="6" applyFont="1" applyBorder="1" applyAlignment="1">
      <alignment horizontal="center" vertical="center" wrapText="1"/>
    </xf>
    <xf numFmtId="0" fontId="8" fillId="0" borderId="116" xfId="6" applyFont="1" applyBorder="1" applyAlignment="1">
      <alignment horizontal="center" vertical="center"/>
    </xf>
    <xf numFmtId="0" fontId="8" fillId="0" borderId="117" xfId="6" applyFont="1" applyBorder="1" applyAlignment="1">
      <alignment horizontal="center" vertical="center"/>
    </xf>
    <xf numFmtId="0" fontId="8" fillId="0" borderId="118" xfId="6" applyFont="1" applyBorder="1" applyAlignment="1">
      <alignment horizontal="center" vertical="center"/>
    </xf>
    <xf numFmtId="0" fontId="8" fillId="0" borderId="127" xfId="6" applyFont="1" applyBorder="1" applyAlignment="1">
      <alignment horizontal="center" vertical="center"/>
    </xf>
    <xf numFmtId="0" fontId="8" fillId="0" borderId="113" xfId="6" applyFont="1" applyBorder="1" applyAlignment="1">
      <alignment horizontal="center" vertical="center"/>
    </xf>
    <xf numFmtId="0" fontId="8" fillId="0" borderId="95" xfId="6" applyFont="1" applyBorder="1" applyAlignment="1">
      <alignment horizontal="center" vertical="center"/>
    </xf>
    <xf numFmtId="0" fontId="8" fillId="0" borderId="109" xfId="6" applyFont="1" applyBorder="1" applyAlignment="1">
      <alignment horizontal="center" vertical="center"/>
    </xf>
    <xf numFmtId="0" fontId="8" fillId="0" borderId="113" xfId="6" quotePrefix="1" applyFont="1" applyBorder="1" applyAlignment="1">
      <alignment horizontal="center" vertical="center" wrapText="1"/>
    </xf>
    <xf numFmtId="0" fontId="8" fillId="0" borderId="121" xfId="6" applyFont="1" applyBorder="1" applyAlignment="1">
      <alignment horizontal="center" vertical="center"/>
    </xf>
    <xf numFmtId="0" fontId="8" fillId="0" borderId="122" xfId="6" applyFont="1" applyBorder="1" applyAlignment="1">
      <alignment horizontal="center" vertical="center"/>
    </xf>
    <xf numFmtId="0" fontId="8" fillId="0" borderId="99" xfId="6" applyFont="1" applyBorder="1" applyAlignment="1">
      <alignment horizontal="center" vertical="center"/>
    </xf>
    <xf numFmtId="0" fontId="8" fillId="0" borderId="100" xfId="6" applyFont="1" applyBorder="1" applyAlignment="1">
      <alignment horizontal="center" vertical="center"/>
    </xf>
    <xf numFmtId="0" fontId="8" fillId="0" borderId="123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14" xfId="6" applyFont="1" applyBorder="1" applyAlignment="1">
      <alignment horizontal="center" vertical="center" wrapText="1"/>
    </xf>
    <xf numFmtId="0" fontId="8" fillId="0" borderId="119" xfId="6" applyFont="1" applyBorder="1" applyAlignment="1">
      <alignment horizontal="center" vertical="center" wrapText="1"/>
    </xf>
    <xf numFmtId="0" fontId="8" fillId="0" borderId="116" xfId="6" applyFont="1" applyBorder="1" applyAlignment="1">
      <alignment horizontal="center" vertical="center" wrapText="1"/>
    </xf>
    <xf numFmtId="0" fontId="8" fillId="0" borderId="120" xfId="6" applyFont="1" applyBorder="1" applyAlignment="1">
      <alignment horizontal="center" vertical="center"/>
    </xf>
    <xf numFmtId="0" fontId="8" fillId="0" borderId="115" xfId="6" applyFont="1" applyBorder="1" applyAlignment="1">
      <alignment horizontal="center" vertical="center"/>
    </xf>
    <xf numFmtId="0" fontId="8" fillId="0" borderId="113" xfId="6" applyFont="1" applyFill="1" applyBorder="1" applyAlignment="1">
      <alignment horizontal="center" vertical="center" wrapText="1"/>
    </xf>
    <xf numFmtId="0" fontId="8" fillId="0" borderId="95" xfId="6" applyFont="1" applyFill="1" applyBorder="1" applyAlignment="1">
      <alignment horizontal="center" vertical="center"/>
    </xf>
    <xf numFmtId="0" fontId="8" fillId="0" borderId="113" xfId="6" quotePrefix="1" applyFont="1" applyBorder="1" applyAlignment="1">
      <alignment horizontal="left" vertical="center" wrapText="1"/>
    </xf>
    <xf numFmtId="0" fontId="8" fillId="0" borderId="95" xfId="6" applyFont="1" applyBorder="1" applyAlignment="1">
      <alignment horizontal="left" vertical="center" wrapText="1"/>
    </xf>
    <xf numFmtId="0" fontId="8" fillId="0" borderId="115" xfId="6" applyFont="1" applyBorder="1" applyAlignment="1">
      <alignment horizontal="left" vertical="center" wrapText="1"/>
    </xf>
    <xf numFmtId="0" fontId="8" fillId="0" borderId="95" xfId="6" quotePrefix="1" applyFont="1" applyBorder="1" applyAlignment="1">
      <alignment horizontal="left" vertical="center" wrapText="1"/>
    </xf>
    <xf numFmtId="0" fontId="8" fillId="0" borderId="115" xfId="6" quotePrefix="1" applyFont="1" applyBorder="1" applyAlignment="1">
      <alignment horizontal="left" vertical="center" wrapText="1"/>
    </xf>
    <xf numFmtId="0" fontId="8" fillId="0" borderId="105" xfId="6" applyFont="1" applyBorder="1" applyAlignment="1">
      <alignment horizontal="center" vertical="center" wrapText="1"/>
    </xf>
    <xf numFmtId="0" fontId="8" fillId="0" borderId="105" xfId="6" applyFont="1" applyBorder="1" applyAlignment="1">
      <alignment horizontal="center" vertical="center"/>
    </xf>
    <xf numFmtId="0" fontId="8" fillId="0" borderId="115" xfId="6" applyFont="1" applyFill="1" applyBorder="1" applyAlignment="1">
      <alignment horizontal="center" vertical="center"/>
    </xf>
    <xf numFmtId="0" fontId="8" fillId="0" borderId="113" xfId="6" applyFont="1" applyBorder="1" applyAlignment="1">
      <alignment horizontal="left" vertical="center" wrapText="1"/>
    </xf>
    <xf numFmtId="0" fontId="8" fillId="0" borderId="111" xfId="6" applyFont="1" applyBorder="1" applyAlignment="1">
      <alignment horizontal="center" vertical="center"/>
    </xf>
    <xf numFmtId="0" fontId="8" fillId="0" borderId="112" xfId="6" applyFont="1" applyBorder="1" applyAlignment="1">
      <alignment horizontal="center" vertical="center"/>
    </xf>
    <xf numFmtId="0" fontId="8" fillId="0" borderId="112" xfId="6" applyFont="1" applyBorder="1" applyAlignment="1">
      <alignment horizontal="center" vertical="center" wrapText="1"/>
    </xf>
    <xf numFmtId="0" fontId="15" fillId="0" borderId="6" xfId="6" applyFont="1" applyAlignment="1">
      <alignment horizontal="center" vertical="center"/>
    </xf>
    <xf numFmtId="0" fontId="17" fillId="0" borderId="103" xfId="6" applyFont="1" applyBorder="1" applyAlignment="1">
      <alignment horizontal="center" vertical="center"/>
    </xf>
    <xf numFmtId="0" fontId="17" fillId="0" borderId="107" xfId="6" applyFont="1" applyBorder="1" applyAlignment="1">
      <alignment horizontal="center" vertical="center"/>
    </xf>
    <xf numFmtId="0" fontId="17" fillId="0" borderId="104" xfId="6" applyFont="1" applyBorder="1" applyAlignment="1">
      <alignment horizontal="center" vertical="center"/>
    </xf>
    <xf numFmtId="0" fontId="17" fillId="0" borderId="108" xfId="6" applyFont="1" applyBorder="1" applyAlignment="1">
      <alignment horizontal="center" vertical="center"/>
    </xf>
    <xf numFmtId="0" fontId="17" fillId="0" borderId="105" xfId="6" applyFont="1" applyBorder="1" applyAlignment="1">
      <alignment horizontal="center" vertical="center" wrapText="1"/>
    </xf>
    <xf numFmtId="0" fontId="17" fillId="0" borderId="109" xfId="6" applyFont="1" applyBorder="1" applyAlignment="1">
      <alignment horizontal="center" vertical="center" wrapText="1"/>
    </xf>
    <xf numFmtId="0" fontId="17" fillId="0" borderId="106" xfId="6" applyFont="1" applyBorder="1" applyAlignment="1">
      <alignment horizontal="center" vertical="center"/>
    </xf>
    <xf numFmtId="0" fontId="17" fillId="0" borderId="110" xfId="6" applyFont="1" applyBorder="1" applyAlignment="1">
      <alignment horizontal="center" vertical="center"/>
    </xf>
    <xf numFmtId="0" fontId="12" fillId="42" borderId="84" xfId="5" applyFont="1" applyFill="1" applyBorder="1" applyAlignment="1">
      <alignment horizontal="center" vertical="center" wrapText="1"/>
    </xf>
    <xf numFmtId="0" fontId="12" fillId="42" borderId="86" xfId="5" applyFont="1" applyFill="1" applyBorder="1" applyAlignment="1">
      <alignment horizontal="center" vertical="center" wrapText="1"/>
    </xf>
    <xf numFmtId="0" fontId="12" fillId="5" borderId="84" xfId="5" applyFont="1" applyFill="1" applyBorder="1" applyAlignment="1">
      <alignment horizontal="center" vertical="center"/>
    </xf>
    <xf numFmtId="0" fontId="12" fillId="5" borderId="86" xfId="5" applyFont="1" applyFill="1" applyBorder="1" applyAlignment="1">
      <alignment horizontal="center" vertical="center"/>
    </xf>
    <xf numFmtId="0" fontId="32" fillId="5" borderId="84" xfId="5" applyFont="1" applyFill="1" applyBorder="1" applyAlignment="1">
      <alignment horizontal="center" vertical="center"/>
    </xf>
    <xf numFmtId="0" fontId="32" fillId="5" borderId="86" xfId="5" applyFont="1" applyFill="1" applyBorder="1" applyAlignment="1">
      <alignment horizontal="center" vertical="center"/>
    </xf>
    <xf numFmtId="0" fontId="32" fillId="5" borderId="84" xfId="5" applyFont="1" applyFill="1" applyBorder="1" applyAlignment="1">
      <alignment horizontal="center" vertical="center" wrapText="1"/>
    </xf>
    <xf numFmtId="0" fontId="12" fillId="43" borderId="93" xfId="5" quotePrefix="1" applyFont="1" applyFill="1" applyBorder="1" applyAlignment="1">
      <alignment horizontal="center" vertical="center" wrapText="1"/>
    </xf>
    <xf numFmtId="0" fontId="12" fillId="43" borderId="98" xfId="5" applyFont="1" applyFill="1" applyBorder="1" applyAlignment="1">
      <alignment horizontal="center" vertical="center" wrapText="1"/>
    </xf>
    <xf numFmtId="0" fontId="12" fillId="43" borderId="99" xfId="5" applyFont="1" applyFill="1" applyBorder="1" applyAlignment="1">
      <alignment horizontal="center" vertical="center" wrapText="1"/>
    </xf>
    <xf numFmtId="0" fontId="12" fillId="43" borderId="6" xfId="5" applyFont="1" applyFill="1" applyBorder="1" applyAlignment="1">
      <alignment horizontal="center" vertical="center" wrapText="1"/>
    </xf>
    <xf numFmtId="0" fontId="12" fillId="7" borderId="93" xfId="5" quotePrefix="1" applyFont="1" applyFill="1" applyBorder="1" applyAlignment="1">
      <alignment horizontal="center" vertical="center" wrapText="1"/>
    </xf>
    <xf numFmtId="0" fontId="12" fillId="7" borderId="98" xfId="5" applyFont="1" applyFill="1" applyBorder="1" applyAlignment="1">
      <alignment horizontal="center" vertical="center" wrapText="1"/>
    </xf>
    <xf numFmtId="0" fontId="12" fillId="7" borderId="94" xfId="5" applyFont="1" applyFill="1" applyBorder="1" applyAlignment="1">
      <alignment horizontal="center" vertical="center" wrapText="1"/>
    </xf>
    <xf numFmtId="0" fontId="12" fillId="7" borderId="99" xfId="5" applyFont="1" applyFill="1" applyBorder="1" applyAlignment="1">
      <alignment horizontal="center" vertical="center" wrapText="1"/>
    </xf>
    <xf numFmtId="0" fontId="12" fillId="7" borderId="6" xfId="5" applyFont="1" applyFill="1" applyBorder="1" applyAlignment="1">
      <alignment horizontal="center" vertical="center" wrapText="1"/>
    </xf>
    <xf numFmtId="0" fontId="12" fillId="7" borderId="100" xfId="5" applyFont="1" applyFill="1" applyBorder="1" applyAlignment="1">
      <alignment horizontal="center" vertical="center" wrapText="1"/>
    </xf>
    <xf numFmtId="0" fontId="12" fillId="7" borderId="96" xfId="5" applyFont="1" applyFill="1" applyBorder="1" applyAlignment="1">
      <alignment horizontal="center" vertical="center" wrapText="1"/>
    </xf>
    <xf numFmtId="0" fontId="12" fillId="7" borderId="102" xfId="5" applyFont="1" applyFill="1" applyBorder="1" applyAlignment="1">
      <alignment horizontal="center" vertical="center" wrapText="1"/>
    </xf>
    <xf numFmtId="0" fontId="12" fillId="7" borderId="97" xfId="5" applyFont="1" applyFill="1" applyBorder="1" applyAlignment="1">
      <alignment horizontal="center" vertical="center" wrapText="1"/>
    </xf>
    <xf numFmtId="0" fontId="12" fillId="44" borderId="93" xfId="5" quotePrefix="1" applyFont="1" applyFill="1" applyBorder="1" applyAlignment="1">
      <alignment horizontal="center" vertical="center" wrapText="1"/>
    </xf>
    <xf numFmtId="0" fontId="12" fillId="44" borderId="94" xfId="5" quotePrefix="1" applyFont="1" applyFill="1" applyBorder="1" applyAlignment="1">
      <alignment horizontal="center" vertical="center" wrapText="1"/>
    </xf>
    <xf numFmtId="0" fontId="12" fillId="44" borderId="99" xfId="5" quotePrefix="1" applyFont="1" applyFill="1" applyBorder="1" applyAlignment="1">
      <alignment horizontal="center" vertical="center" wrapText="1"/>
    </xf>
    <xf numFmtId="0" fontId="12" fillId="44" borderId="100" xfId="5" quotePrefix="1" applyFont="1" applyFill="1" applyBorder="1" applyAlignment="1">
      <alignment horizontal="center" vertical="center" wrapText="1"/>
    </xf>
    <xf numFmtId="0" fontId="12" fillId="44" borderId="96" xfId="5" quotePrefix="1" applyFont="1" applyFill="1" applyBorder="1" applyAlignment="1">
      <alignment horizontal="center" vertical="center" wrapText="1"/>
    </xf>
    <xf numFmtId="0" fontId="12" fillId="44" borderId="97" xfId="5" quotePrefix="1" applyFont="1" applyFill="1" applyBorder="1" applyAlignment="1">
      <alignment horizontal="center" vertical="center" wrapText="1"/>
    </xf>
    <xf numFmtId="0" fontId="12" fillId="44" borderId="83" xfId="5" applyFont="1" applyFill="1" applyBorder="1" applyAlignment="1">
      <alignment horizontal="center" vertical="center" wrapText="1"/>
    </xf>
    <xf numFmtId="0" fontId="12" fillId="44" borderId="83" xfId="5" applyFont="1" applyFill="1" applyBorder="1" applyAlignment="1">
      <alignment horizontal="center" vertical="center"/>
    </xf>
    <xf numFmtId="0" fontId="12" fillId="2" borderId="83" xfId="5" applyFont="1" applyFill="1" applyBorder="1" applyAlignment="1">
      <alignment horizontal="center" vertical="center" wrapText="1"/>
    </xf>
    <xf numFmtId="0" fontId="12" fillId="2" borderId="83" xfId="5" applyFont="1" applyFill="1" applyBorder="1" applyAlignment="1">
      <alignment horizontal="center" vertical="center"/>
    </xf>
    <xf numFmtId="0" fontId="26" fillId="49" borderId="83" xfId="5" applyFont="1" applyFill="1" applyBorder="1" applyAlignment="1">
      <alignment vertical="center"/>
    </xf>
    <xf numFmtId="0" fontId="26" fillId="0" borderId="83" xfId="5" applyFont="1" applyBorder="1" applyAlignment="1">
      <alignment vertical="center"/>
    </xf>
    <xf numFmtId="0" fontId="12" fillId="50" borderId="93" xfId="5" applyFont="1" applyFill="1" applyBorder="1" applyAlignment="1">
      <alignment horizontal="center" vertical="center" wrapText="1"/>
    </xf>
    <xf numFmtId="0" fontId="12" fillId="50" borderId="98" xfId="5" applyFont="1" applyFill="1" applyBorder="1" applyAlignment="1">
      <alignment horizontal="center" vertical="center" wrapText="1"/>
    </xf>
    <xf numFmtId="0" fontId="12" fillId="50" borderId="94" xfId="5" applyFont="1" applyFill="1" applyBorder="1" applyAlignment="1">
      <alignment horizontal="center" vertical="center" wrapText="1"/>
    </xf>
    <xf numFmtId="0" fontId="12" fillId="50" borderId="99" xfId="5" applyFont="1" applyFill="1" applyBorder="1" applyAlignment="1">
      <alignment horizontal="center" vertical="center" wrapText="1"/>
    </xf>
    <xf numFmtId="0" fontId="12" fillId="50" borderId="6" xfId="5" applyFont="1" applyFill="1" applyBorder="1" applyAlignment="1">
      <alignment horizontal="center" vertical="center" wrapText="1"/>
    </xf>
    <xf numFmtId="0" fontId="12" fillId="50" borderId="100" xfId="5" applyFont="1" applyFill="1" applyBorder="1" applyAlignment="1">
      <alignment horizontal="center" vertical="center" wrapText="1"/>
    </xf>
    <xf numFmtId="0" fontId="12" fillId="50" borderId="96" xfId="5" applyFont="1" applyFill="1" applyBorder="1" applyAlignment="1">
      <alignment horizontal="center" vertical="center" wrapText="1"/>
    </xf>
    <xf numFmtId="0" fontId="12" fillId="50" borderId="102" xfId="5" applyFont="1" applyFill="1" applyBorder="1" applyAlignment="1">
      <alignment horizontal="center" vertical="center" wrapText="1"/>
    </xf>
    <xf numFmtId="0" fontId="12" fillId="50" borderId="97" xfId="5" applyFont="1" applyFill="1" applyBorder="1" applyAlignment="1">
      <alignment horizontal="center" vertical="center" wrapText="1"/>
    </xf>
    <xf numFmtId="0" fontId="28" fillId="36" borderId="84" xfId="5" applyFont="1" applyFill="1" applyBorder="1" applyAlignment="1">
      <alignment horizontal="center" vertical="center"/>
    </xf>
    <xf numFmtId="0" fontId="28" fillId="36" borderId="85" xfId="5" applyFont="1" applyFill="1" applyBorder="1" applyAlignment="1">
      <alignment horizontal="center" vertical="center"/>
    </xf>
    <xf numFmtId="0" fontId="28" fillId="36" borderId="86" xfId="5" applyFont="1" applyFill="1" applyBorder="1" applyAlignment="1">
      <alignment horizontal="center" vertical="center"/>
    </xf>
    <xf numFmtId="0" fontId="28" fillId="48" borderId="93" xfId="5" applyFont="1" applyFill="1" applyBorder="1" applyAlignment="1">
      <alignment horizontal="center" vertical="center"/>
    </xf>
    <xf numFmtId="0" fontId="28" fillId="48" borderId="98" xfId="5" applyFont="1" applyFill="1" applyBorder="1" applyAlignment="1">
      <alignment horizontal="center" vertical="center"/>
    </xf>
    <xf numFmtId="0" fontId="28" fillId="48" borderId="94" xfId="5" applyFont="1" applyFill="1" applyBorder="1" applyAlignment="1">
      <alignment horizontal="center" vertical="center"/>
    </xf>
    <xf numFmtId="0" fontId="28" fillId="48" borderId="99" xfId="5" applyFont="1" applyFill="1" applyBorder="1" applyAlignment="1">
      <alignment horizontal="center" vertical="center"/>
    </xf>
    <xf numFmtId="0" fontId="28" fillId="48" borderId="6" xfId="5" applyFont="1" applyFill="1" applyBorder="1" applyAlignment="1">
      <alignment horizontal="center" vertical="center"/>
    </xf>
    <xf numFmtId="0" fontId="28" fillId="48" borderId="100" xfId="5" applyFont="1" applyFill="1" applyBorder="1" applyAlignment="1">
      <alignment horizontal="center" vertical="center"/>
    </xf>
    <xf numFmtId="0" fontId="28" fillId="48" borderId="96" xfId="5" applyFont="1" applyFill="1" applyBorder="1" applyAlignment="1">
      <alignment horizontal="center" vertical="center"/>
    </xf>
    <xf numFmtId="0" fontId="28" fillId="48" borderId="102" xfId="5" applyFont="1" applyFill="1" applyBorder="1" applyAlignment="1">
      <alignment horizontal="center" vertical="center"/>
    </xf>
    <xf numFmtId="0" fontId="28" fillId="48" borderId="97" xfId="5" applyFont="1" applyFill="1" applyBorder="1" applyAlignment="1">
      <alignment horizontal="center" vertical="center"/>
    </xf>
    <xf numFmtId="0" fontId="12" fillId="44" borderId="98" xfId="5" applyFont="1" applyFill="1" applyBorder="1" applyAlignment="1">
      <alignment horizontal="center" vertical="center"/>
    </xf>
    <xf numFmtId="0" fontId="12" fillId="44" borderId="99" xfId="5" applyFont="1" applyFill="1" applyBorder="1" applyAlignment="1">
      <alignment horizontal="center" vertical="center"/>
    </xf>
    <xf numFmtId="0" fontId="12" fillId="44" borderId="6" xfId="5" applyFont="1" applyFill="1" applyBorder="1" applyAlignment="1">
      <alignment horizontal="center" vertical="center"/>
    </xf>
    <xf numFmtId="0" fontId="12" fillId="44" borderId="96" xfId="5" applyFont="1" applyFill="1" applyBorder="1" applyAlignment="1">
      <alignment horizontal="center" vertical="center"/>
    </xf>
    <xf numFmtId="0" fontId="12" fillId="44" borderId="102" xfId="5" applyFont="1" applyFill="1" applyBorder="1" applyAlignment="1">
      <alignment horizontal="center" vertical="center"/>
    </xf>
    <xf numFmtId="0" fontId="32" fillId="31" borderId="84" xfId="5" applyFont="1" applyFill="1" applyBorder="1" applyAlignment="1">
      <alignment horizontal="center" vertical="center"/>
    </xf>
    <xf numFmtId="0" fontId="32" fillId="31" borderId="86" xfId="5" applyFont="1" applyFill="1" applyBorder="1" applyAlignment="1">
      <alignment horizontal="center" vertical="center"/>
    </xf>
    <xf numFmtId="0" fontId="32" fillId="41" borderId="92" xfId="5" applyFont="1" applyFill="1" applyBorder="1" applyAlignment="1">
      <alignment horizontal="center" vertical="center" wrapText="1"/>
    </xf>
    <xf numFmtId="0" fontId="32" fillId="41" borderId="95" xfId="5" applyFont="1" applyFill="1" applyBorder="1" applyAlignment="1">
      <alignment horizontal="center" vertical="center" wrapText="1"/>
    </xf>
    <xf numFmtId="0" fontId="32" fillId="41" borderId="101" xfId="5" applyFont="1" applyFill="1" applyBorder="1" applyAlignment="1">
      <alignment horizontal="center" vertical="center" wrapText="1"/>
    </xf>
    <xf numFmtId="0" fontId="26" fillId="44" borderId="83" xfId="5" applyFont="1" applyFill="1" applyBorder="1" applyAlignment="1">
      <alignment vertical="center"/>
    </xf>
    <xf numFmtId="0" fontId="12" fillId="47" borderId="83" xfId="5" applyFont="1" applyFill="1" applyBorder="1" applyAlignment="1">
      <alignment horizontal="center" vertical="center"/>
    </xf>
    <xf numFmtId="0" fontId="12" fillId="0" borderId="93" xfId="5" applyFont="1" applyBorder="1" applyAlignment="1">
      <alignment horizontal="center" vertical="center"/>
    </xf>
    <xf numFmtId="0" fontId="12" fillId="0" borderId="98" xfId="5" applyFont="1" applyBorder="1" applyAlignment="1">
      <alignment horizontal="center" vertical="center"/>
    </xf>
    <xf numFmtId="0" fontId="12" fillId="0" borderId="94" xfId="5" applyFont="1" applyBorder="1" applyAlignment="1">
      <alignment horizontal="center" vertical="center"/>
    </xf>
    <xf numFmtId="0" fontId="12" fillId="0" borderId="99" xfId="5" applyFont="1" applyBorder="1" applyAlignment="1">
      <alignment horizontal="center" vertical="center"/>
    </xf>
    <xf numFmtId="0" fontId="12" fillId="0" borderId="6" xfId="5" applyFont="1" applyBorder="1" applyAlignment="1">
      <alignment horizontal="center" vertical="center"/>
    </xf>
    <xf numFmtId="0" fontId="12" fillId="0" borderId="100" xfId="5" applyFont="1" applyBorder="1" applyAlignment="1">
      <alignment horizontal="center" vertical="center"/>
    </xf>
    <xf numFmtId="0" fontId="12" fillId="0" borderId="96" xfId="5" applyFont="1" applyBorder="1" applyAlignment="1">
      <alignment horizontal="center" vertical="center"/>
    </xf>
    <xf numFmtId="0" fontId="12" fillId="0" borderId="102" xfId="5" applyFont="1" applyBorder="1" applyAlignment="1">
      <alignment horizontal="center" vertical="center"/>
    </xf>
    <xf numFmtId="0" fontId="12" fillId="0" borderId="97" xfId="5" applyFont="1" applyBorder="1" applyAlignment="1">
      <alignment horizontal="center" vertical="center"/>
    </xf>
    <xf numFmtId="0" fontId="12" fillId="0" borderId="93" xfId="5" applyFont="1" applyFill="1" applyBorder="1" applyAlignment="1">
      <alignment horizontal="center" vertical="center" wrapText="1"/>
    </xf>
    <xf numFmtId="0" fontId="12" fillId="0" borderId="98" xfId="5" applyFont="1" applyFill="1" applyBorder="1" applyAlignment="1">
      <alignment horizontal="center" vertical="center" wrapText="1"/>
    </xf>
    <xf numFmtId="0" fontId="12" fillId="0" borderId="94" xfId="5" applyFont="1" applyFill="1" applyBorder="1" applyAlignment="1">
      <alignment horizontal="center" vertical="center" wrapText="1"/>
    </xf>
    <xf numFmtId="0" fontId="12" fillId="0" borderId="99" xfId="5" applyFont="1" applyFill="1" applyBorder="1" applyAlignment="1">
      <alignment horizontal="center" vertical="center" wrapText="1"/>
    </xf>
    <xf numFmtId="0" fontId="12" fillId="0" borderId="6" xfId="5" applyFont="1" applyFill="1" applyBorder="1" applyAlignment="1">
      <alignment horizontal="center" vertical="center" wrapText="1"/>
    </xf>
    <xf numFmtId="0" fontId="12" fillId="0" borderId="100" xfId="5" applyFont="1" applyFill="1" applyBorder="1" applyAlignment="1">
      <alignment horizontal="center" vertical="center" wrapText="1"/>
    </xf>
    <xf numFmtId="0" fontId="12" fillId="0" borderId="96" xfId="5" applyFont="1" applyFill="1" applyBorder="1" applyAlignment="1">
      <alignment horizontal="center" vertical="center" wrapText="1"/>
    </xf>
    <xf numFmtId="0" fontId="12" fillId="0" borderId="102" xfId="5" applyFont="1" applyFill="1" applyBorder="1" applyAlignment="1">
      <alignment horizontal="center" vertical="center" wrapText="1"/>
    </xf>
    <xf numFmtId="0" fontId="12" fillId="0" borderId="97" xfId="5" applyFont="1" applyFill="1" applyBorder="1" applyAlignment="1">
      <alignment horizontal="center" vertical="center" wrapText="1"/>
    </xf>
    <xf numFmtId="0" fontId="12" fillId="42" borderId="92" xfId="5" applyFont="1" applyFill="1" applyBorder="1" applyAlignment="1">
      <alignment horizontal="center" vertical="center" wrapText="1"/>
    </xf>
    <xf numFmtId="0" fontId="12" fillId="42" borderId="95" xfId="5" applyFont="1" applyFill="1" applyBorder="1" applyAlignment="1">
      <alignment horizontal="center" vertical="center" wrapText="1"/>
    </xf>
    <xf numFmtId="0" fontId="12" fillId="42" borderId="93" xfId="5" applyFont="1" applyFill="1" applyBorder="1" applyAlignment="1">
      <alignment horizontal="center" vertical="center" wrapText="1"/>
    </xf>
    <xf numFmtId="0" fontId="12" fillId="42" borderId="94" xfId="5" applyFont="1" applyFill="1" applyBorder="1" applyAlignment="1">
      <alignment horizontal="center" vertical="center" wrapText="1"/>
    </xf>
    <xf numFmtId="0" fontId="12" fillId="42" borderId="96" xfId="5" applyFont="1" applyFill="1" applyBorder="1" applyAlignment="1">
      <alignment horizontal="center" vertical="center" wrapText="1"/>
    </xf>
    <xf numFmtId="0" fontId="12" fillId="42" borderId="97" xfId="5" applyFont="1" applyFill="1" applyBorder="1" applyAlignment="1">
      <alignment horizontal="center" vertical="center" wrapText="1"/>
    </xf>
    <xf numFmtId="0" fontId="12" fillId="43" borderId="94" xfId="5" quotePrefix="1" applyFont="1" applyFill="1" applyBorder="1" applyAlignment="1">
      <alignment horizontal="center" vertical="center" wrapText="1"/>
    </xf>
    <xf numFmtId="0" fontId="12" fillId="43" borderId="99" xfId="5" quotePrefix="1" applyFont="1" applyFill="1" applyBorder="1" applyAlignment="1">
      <alignment horizontal="center" vertical="center" wrapText="1"/>
    </xf>
    <xf numFmtId="0" fontId="12" fillId="43" borderId="100" xfId="5" quotePrefix="1" applyFont="1" applyFill="1" applyBorder="1" applyAlignment="1">
      <alignment horizontal="center" vertical="center" wrapText="1"/>
    </xf>
    <xf numFmtId="0" fontId="12" fillId="43" borderId="96" xfId="5" quotePrefix="1" applyFont="1" applyFill="1" applyBorder="1" applyAlignment="1">
      <alignment horizontal="center" vertical="center" wrapText="1"/>
    </xf>
    <xf numFmtId="0" fontId="12" fillId="43" borderId="97" xfId="5" quotePrefix="1" applyFont="1" applyFill="1" applyBorder="1" applyAlignment="1">
      <alignment horizontal="center" vertical="center" wrapText="1"/>
    </xf>
    <xf numFmtId="0" fontId="12" fillId="7" borderId="98" xfId="5" quotePrefix="1" applyFont="1" applyFill="1" applyBorder="1" applyAlignment="1">
      <alignment horizontal="center" vertical="center" wrapText="1"/>
    </xf>
    <xf numFmtId="0" fontId="12" fillId="7" borderId="94" xfId="5" quotePrefix="1" applyFont="1" applyFill="1" applyBorder="1" applyAlignment="1">
      <alignment horizontal="center" vertical="center" wrapText="1"/>
    </xf>
    <xf numFmtId="0" fontId="12" fillId="7" borderId="99" xfId="5" quotePrefix="1" applyFont="1" applyFill="1" applyBorder="1" applyAlignment="1">
      <alignment horizontal="center" vertical="center" wrapText="1"/>
    </xf>
    <xf numFmtId="0" fontId="12" fillId="7" borderId="6" xfId="5" quotePrefix="1" applyFont="1" applyFill="1" applyBorder="1" applyAlignment="1">
      <alignment horizontal="center" vertical="center" wrapText="1"/>
    </xf>
    <xf numFmtId="0" fontId="12" fillId="7" borderId="100" xfId="5" quotePrefix="1" applyFont="1" applyFill="1" applyBorder="1" applyAlignment="1">
      <alignment horizontal="center" vertical="center" wrapText="1"/>
    </xf>
    <xf numFmtId="0" fontId="12" fillId="7" borderId="96" xfId="5" quotePrefix="1" applyFont="1" applyFill="1" applyBorder="1" applyAlignment="1">
      <alignment horizontal="center" vertical="center" wrapText="1"/>
    </xf>
    <xf numFmtId="0" fontId="12" fillId="7" borderId="102" xfId="5" quotePrefix="1" applyFont="1" applyFill="1" applyBorder="1" applyAlignment="1">
      <alignment horizontal="center" vertical="center" wrapText="1"/>
    </xf>
    <xf numFmtId="0" fontId="12" fillId="7" borderId="97" xfId="5" quotePrefix="1" applyFont="1" applyFill="1" applyBorder="1" applyAlignment="1">
      <alignment horizontal="center" vertical="center" wrapText="1"/>
    </xf>
    <xf numFmtId="0" fontId="12" fillId="2" borderId="92" xfId="5" applyFont="1" applyFill="1" applyBorder="1" applyAlignment="1">
      <alignment horizontal="center" vertical="center" wrapText="1"/>
    </xf>
    <xf numFmtId="0" fontId="12" fillId="2" borderId="101" xfId="5" applyFont="1" applyFill="1" applyBorder="1" applyAlignment="1">
      <alignment horizontal="center" vertical="center" wrapText="1"/>
    </xf>
    <xf numFmtId="0" fontId="12" fillId="44" borderId="92" xfId="5" applyFont="1" applyFill="1" applyBorder="1" applyAlignment="1">
      <alignment horizontal="center" vertical="center" wrapText="1"/>
    </xf>
    <xf numFmtId="0" fontId="12" fillId="44" borderId="101" xfId="5" applyFont="1" applyFill="1" applyBorder="1" applyAlignment="1">
      <alignment horizontal="center" vertical="center" wrapText="1"/>
    </xf>
    <xf numFmtId="0" fontId="32" fillId="28" borderId="84" xfId="5" applyFont="1" applyFill="1" applyBorder="1" applyAlignment="1">
      <alignment horizontal="center" vertical="center"/>
    </xf>
    <xf numFmtId="0" fontId="32" fillId="28" borderId="86" xfId="5" applyFont="1" applyFill="1" applyBorder="1" applyAlignment="1">
      <alignment horizontal="center" vertical="center"/>
    </xf>
    <xf numFmtId="0" fontId="32" fillId="41" borderId="84" xfId="5" applyFont="1" applyFill="1" applyBorder="1" applyAlignment="1">
      <alignment horizontal="center" vertical="center" wrapText="1"/>
    </xf>
    <xf numFmtId="0" fontId="32" fillId="41" borderId="86" xfId="5" applyFont="1" applyFill="1" applyBorder="1" applyAlignment="1">
      <alignment horizontal="center" vertical="center" wrapText="1"/>
    </xf>
    <xf numFmtId="0" fontId="33" fillId="2" borderId="83" xfId="5" applyFont="1" applyFill="1" applyBorder="1" applyAlignment="1">
      <alignment horizontal="center" vertical="center" wrapText="1"/>
    </xf>
    <xf numFmtId="0" fontId="32" fillId="28" borderId="84" xfId="5" applyFont="1" applyFill="1" applyBorder="1" applyAlignment="1">
      <alignment horizontal="center" vertical="center" wrapText="1"/>
    </xf>
    <xf numFmtId="0" fontId="32" fillId="28" borderId="86" xfId="5" applyFont="1" applyFill="1" applyBorder="1" applyAlignment="1">
      <alignment horizontal="center" vertical="center" wrapText="1"/>
    </xf>
    <xf numFmtId="0" fontId="32" fillId="41" borderId="85" xfId="5" applyFont="1" applyFill="1" applyBorder="1" applyAlignment="1">
      <alignment horizontal="center" vertical="center" wrapText="1"/>
    </xf>
    <xf numFmtId="0" fontId="32" fillId="28" borderId="85" xfId="5" applyFont="1" applyFill="1" applyBorder="1" applyAlignment="1">
      <alignment horizontal="center" vertical="center" wrapText="1"/>
    </xf>
    <xf numFmtId="0" fontId="32" fillId="2" borderId="84" xfId="5" applyFont="1" applyFill="1" applyBorder="1" applyAlignment="1">
      <alignment horizontal="center" vertical="center" wrapText="1"/>
    </xf>
    <xf numFmtId="0" fontId="32" fillId="2" borderId="86" xfId="5" applyFont="1" applyFill="1" applyBorder="1" applyAlignment="1">
      <alignment horizontal="center" vertical="center" wrapText="1"/>
    </xf>
    <xf numFmtId="0" fontId="32" fillId="2" borderId="83" xfId="5" applyFont="1" applyFill="1" applyBorder="1" applyAlignment="1">
      <alignment horizontal="center" vertical="center" wrapText="1"/>
    </xf>
    <xf numFmtId="0" fontId="32" fillId="28" borderId="83" xfId="5" applyFont="1" applyFill="1" applyBorder="1" applyAlignment="1">
      <alignment horizontal="center" vertical="center" wrapText="1"/>
    </xf>
    <xf numFmtId="0" fontId="32" fillId="42" borderId="84" xfId="5" applyFont="1" applyFill="1" applyBorder="1" applyAlignment="1">
      <alignment horizontal="center" vertical="center" wrapText="1"/>
    </xf>
    <xf numFmtId="0" fontId="32" fillId="42" borderId="86" xfId="5" applyFont="1" applyFill="1" applyBorder="1" applyAlignment="1">
      <alignment horizontal="center" vertical="center" wrapText="1"/>
    </xf>
    <xf numFmtId="0" fontId="21" fillId="28" borderId="83" xfId="1" applyFont="1" applyFill="1" applyBorder="1" applyAlignment="1">
      <alignment horizontal="center" vertical="center" wrapText="1"/>
    </xf>
    <xf numFmtId="0" fontId="22" fillId="0" borderId="83" xfId="1" applyFont="1" applyBorder="1"/>
    <xf numFmtId="0" fontId="21" fillId="2" borderId="83" xfId="1" applyFont="1" applyFill="1" applyBorder="1" applyAlignment="1">
      <alignment horizontal="center" vertical="center" wrapText="1"/>
    </xf>
    <xf numFmtId="0" fontId="21" fillId="28" borderId="83" xfId="1" applyFont="1" applyFill="1" applyBorder="1" applyAlignment="1">
      <alignment horizontal="center" vertical="center"/>
    </xf>
    <xf numFmtId="0" fontId="21" fillId="29" borderId="83" xfId="1" applyFont="1" applyFill="1" applyBorder="1" applyAlignment="1">
      <alignment horizontal="center" vertical="center" wrapText="1"/>
    </xf>
    <xf numFmtId="0" fontId="21" fillId="30" borderId="83" xfId="1" applyFont="1" applyFill="1" applyBorder="1" applyAlignment="1">
      <alignment horizontal="center" vertical="center" wrapText="1"/>
    </xf>
    <xf numFmtId="0" fontId="21" fillId="31" borderId="83" xfId="1" applyFont="1" applyFill="1" applyBorder="1" applyAlignment="1">
      <alignment horizontal="center" vertical="center"/>
    </xf>
    <xf numFmtId="0" fontId="21" fillId="2" borderId="83" xfId="1" applyFont="1" applyFill="1" applyBorder="1" applyAlignment="1">
      <alignment horizontal="center" vertical="center"/>
    </xf>
    <xf numFmtId="20" fontId="21" fillId="0" borderId="83" xfId="1" applyNumberFormat="1" applyFont="1" applyBorder="1" applyAlignment="1">
      <alignment horizontal="center" vertical="center"/>
    </xf>
    <xf numFmtId="20" fontId="24" fillId="0" borderId="83" xfId="1" applyNumberFormat="1" applyFont="1" applyBorder="1" applyAlignment="1">
      <alignment horizontal="center" vertical="center"/>
    </xf>
    <xf numFmtId="0" fontId="3" fillId="2" borderId="83" xfId="1" applyFont="1" applyFill="1" applyBorder="1" applyAlignment="1">
      <alignment horizontal="center" vertical="center" wrapText="1"/>
    </xf>
    <xf numFmtId="0" fontId="3" fillId="34" borderId="83" xfId="1" applyFont="1" applyFill="1" applyBorder="1" applyAlignment="1">
      <alignment horizontal="center" vertical="center" wrapText="1"/>
    </xf>
    <xf numFmtId="0" fontId="12" fillId="34" borderId="83" xfId="1" applyFont="1" applyFill="1" applyBorder="1" applyAlignment="1">
      <alignment horizontal="center" vertical="center" wrapText="1"/>
    </xf>
    <xf numFmtId="0" fontId="26" fillId="0" borderId="83" xfId="1" applyFont="1" applyBorder="1"/>
    <xf numFmtId="0" fontId="5" fillId="2" borderId="84" xfId="1" applyFont="1" applyFill="1" applyBorder="1" applyAlignment="1">
      <alignment horizontal="center" vertical="center"/>
    </xf>
    <xf numFmtId="0" fontId="5" fillId="2" borderId="85" xfId="1" applyFont="1" applyFill="1" applyBorder="1" applyAlignment="1">
      <alignment horizontal="center" vertical="center"/>
    </xf>
    <xf numFmtId="0" fontId="5" fillId="2" borderId="86" xfId="1" applyFont="1" applyFill="1" applyBorder="1" applyAlignment="1">
      <alignment horizontal="center" vertical="center"/>
    </xf>
    <xf numFmtId="0" fontId="24" fillId="0" borderId="83" xfId="1" applyFont="1" applyBorder="1" applyAlignment="1">
      <alignment horizontal="center" vertical="center"/>
    </xf>
    <xf numFmtId="0" fontId="27" fillId="2" borderId="83" xfId="1" applyFont="1" applyFill="1" applyBorder="1" applyAlignment="1">
      <alignment horizontal="center" vertical="center"/>
    </xf>
    <xf numFmtId="0" fontId="0" fillId="0" borderId="83" xfId="1" applyFont="1" applyBorder="1" applyAlignment="1"/>
    <xf numFmtId="0" fontId="24" fillId="0" borderId="83" xfId="1" applyFont="1" applyBorder="1" applyAlignment="1">
      <alignment horizontal="center" vertical="center" wrapText="1"/>
    </xf>
    <xf numFmtId="0" fontId="21" fillId="2" borderId="84" xfId="1" applyFont="1" applyFill="1" applyBorder="1" applyAlignment="1">
      <alignment horizontal="center" vertical="center"/>
    </xf>
    <xf numFmtId="0" fontId="21" fillId="2" borderId="85" xfId="1" applyFont="1" applyFill="1" applyBorder="1" applyAlignment="1">
      <alignment horizontal="center" vertical="center"/>
    </xf>
    <xf numFmtId="0" fontId="21" fillId="2" borderId="86" xfId="1" applyFont="1" applyFill="1" applyBorder="1" applyAlignment="1">
      <alignment horizontal="center" vertical="center"/>
    </xf>
    <xf numFmtId="0" fontId="27" fillId="36" borderId="83" xfId="1" applyFont="1" applyFill="1" applyBorder="1" applyAlignment="1">
      <alignment horizontal="center" vertical="center"/>
    </xf>
    <xf numFmtId="0" fontId="3" fillId="0" borderId="6" xfId="3" applyFont="1" applyAlignment="1">
      <alignment horizontal="center" vertical="center"/>
    </xf>
    <xf numFmtId="0" fontId="3" fillId="38" borderId="43" xfId="3" applyFont="1" applyFill="1" applyBorder="1" applyAlignment="1">
      <alignment horizontal="center" vertical="center"/>
    </xf>
    <xf numFmtId="0" fontId="3" fillId="0" borderId="43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5" fillId="0" borderId="83" xfId="5" applyFont="1" applyBorder="1" applyAlignment="1">
      <alignment horizontal="center" vertical="center"/>
    </xf>
    <xf numFmtId="0" fontId="15" fillId="0" borderId="6" xfId="5" applyFont="1" applyAlignment="1">
      <alignment horizontal="center" vertical="center"/>
    </xf>
    <xf numFmtId="0" fontId="5" fillId="0" borderId="84" xfId="5" applyFont="1" applyBorder="1" applyAlignment="1">
      <alignment horizontal="center" vertical="center"/>
    </xf>
    <xf numFmtId="0" fontId="5" fillId="0" borderId="85" xfId="5" applyFont="1" applyBorder="1" applyAlignment="1">
      <alignment horizontal="center" vertical="center"/>
    </xf>
    <xf numFmtId="0" fontId="5" fillId="0" borderId="86" xfId="5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/>
    <xf numFmtId="0" fontId="11" fillId="3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0" fillId="9" borderId="38" xfId="0" applyFont="1" applyFill="1" applyBorder="1" applyAlignment="1">
      <alignment horizontal="center" vertical="center"/>
    </xf>
    <xf numFmtId="0" fontId="10" fillId="9" borderId="42" xfId="0" applyFont="1" applyFill="1" applyBorder="1" applyAlignment="1">
      <alignment horizontal="center" vertical="center"/>
    </xf>
    <xf numFmtId="0" fontId="10" fillId="10" borderId="38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7" borderId="38" xfId="0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1" fillId="13" borderId="44" xfId="0" applyFont="1" applyFill="1" applyBorder="1" applyAlignment="1">
      <alignment horizontal="center" vertical="center"/>
    </xf>
    <xf numFmtId="0" fontId="11" fillId="13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3" borderId="21" xfId="0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/>
    </xf>
    <xf numFmtId="0" fontId="11" fillId="14" borderId="22" xfId="0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/>
    </xf>
    <xf numFmtId="0" fontId="4" fillId="0" borderId="55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1" fillId="5" borderId="58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left" vertical="center"/>
    </xf>
    <xf numFmtId="0" fontId="4" fillId="0" borderId="35" xfId="0" applyFont="1" applyFill="1" applyBorder="1" applyAlignment="1">
      <alignment horizontal="left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10" borderId="62" xfId="0" applyFont="1" applyFill="1" applyBorder="1" applyAlignment="1">
      <alignment horizontal="center" vertical="center"/>
    </xf>
    <xf numFmtId="0" fontId="10" fillId="10" borderId="50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1" fillId="2" borderId="21" xfId="0" applyFont="1" applyFill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11" fillId="13" borderId="11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15" borderId="8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13" fillId="0" borderId="0" xfId="0" applyFont="1" applyAlignment="1"/>
    <xf numFmtId="0" fontId="6" fillId="0" borderId="0" xfId="0" applyFont="1" applyAlignment="1">
      <alignment horizontal="center"/>
    </xf>
    <xf numFmtId="0" fontId="10" fillId="27" borderId="8" xfId="0" applyFont="1" applyFill="1" applyBorder="1" applyAlignment="1">
      <alignment horizontal="center" vertical="center"/>
    </xf>
    <xf numFmtId="0" fontId="10" fillId="2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2" borderId="65" xfId="0" applyFont="1" applyFill="1" applyBorder="1" applyAlignment="1">
      <alignment horizontal="center" vertical="center"/>
    </xf>
    <xf numFmtId="0" fontId="11" fillId="2" borderId="66" xfId="0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10" fillId="8" borderId="77" xfId="0" applyFont="1" applyFill="1" applyBorder="1" applyAlignment="1">
      <alignment horizontal="center" vertical="center"/>
    </xf>
    <xf numFmtId="0" fontId="10" fillId="8" borderId="75" xfId="0" applyFont="1" applyFill="1" applyBorder="1" applyAlignment="1">
      <alignment horizontal="center" vertical="center"/>
    </xf>
    <xf numFmtId="0" fontId="10" fillId="8" borderId="53" xfId="0" applyFont="1" applyFill="1" applyBorder="1" applyAlignment="1">
      <alignment horizontal="center" vertical="center"/>
    </xf>
    <xf numFmtId="0" fontId="10" fillId="21" borderId="74" xfId="0" applyFont="1" applyFill="1" applyBorder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0" fontId="10" fillId="21" borderId="53" xfId="0" applyFont="1" applyFill="1" applyBorder="1" applyAlignment="1">
      <alignment horizontal="center" vertical="center"/>
    </xf>
    <xf numFmtId="0" fontId="10" fillId="9" borderId="74" xfId="0" applyFont="1" applyFill="1" applyBorder="1" applyAlignment="1">
      <alignment horizontal="center" vertical="center"/>
    </xf>
    <xf numFmtId="0" fontId="10" fillId="9" borderId="75" xfId="0" applyFont="1" applyFill="1" applyBorder="1" applyAlignment="1">
      <alignment horizontal="center" vertical="center"/>
    </xf>
    <xf numFmtId="0" fontId="10" fillId="9" borderId="53" xfId="0" applyFont="1" applyFill="1" applyBorder="1" applyAlignment="1">
      <alignment horizontal="center" vertical="center"/>
    </xf>
    <xf numFmtId="0" fontId="10" fillId="23" borderId="74" xfId="0" applyFont="1" applyFill="1" applyBorder="1" applyAlignment="1">
      <alignment horizontal="center" vertical="center"/>
    </xf>
    <xf numFmtId="0" fontId="10" fillId="23" borderId="75" xfId="0" applyFont="1" applyFill="1" applyBorder="1" applyAlignment="1">
      <alignment horizontal="center" vertical="center"/>
    </xf>
    <xf numFmtId="0" fontId="10" fillId="23" borderId="76" xfId="0" applyFont="1" applyFill="1" applyBorder="1" applyAlignment="1">
      <alignment horizontal="center" vertical="center"/>
    </xf>
    <xf numFmtId="0" fontId="10" fillId="22" borderId="73" xfId="0" applyFont="1" applyFill="1" applyBorder="1" applyAlignment="1">
      <alignment horizontal="center" vertical="center"/>
    </xf>
    <xf numFmtId="0" fontId="10" fillId="22" borderId="41" xfId="0" applyFont="1" applyFill="1" applyBorder="1" applyAlignment="1">
      <alignment horizontal="center" vertical="center"/>
    </xf>
    <xf numFmtId="0" fontId="10" fillId="22" borderId="72" xfId="0" applyFont="1" applyFill="1" applyBorder="1" applyAlignment="1">
      <alignment vertical="center"/>
    </xf>
    <xf numFmtId="0" fontId="10" fillId="22" borderId="69" xfId="0" applyFont="1" applyFill="1" applyBorder="1" applyAlignment="1">
      <alignment vertical="center"/>
    </xf>
    <xf numFmtId="0" fontId="10" fillId="12" borderId="3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68" xfId="0" applyFont="1" applyFill="1" applyBorder="1" applyAlignment="1">
      <alignment vertical="center"/>
    </xf>
    <xf numFmtId="0" fontId="10" fillId="12" borderId="19" xfId="0" applyFont="1" applyFill="1" applyBorder="1" applyAlignment="1">
      <alignment vertical="center"/>
    </xf>
    <xf numFmtId="0" fontId="10" fillId="12" borderId="72" xfId="0" applyFont="1" applyFill="1" applyBorder="1" applyAlignment="1">
      <alignment vertical="center"/>
    </xf>
    <xf numFmtId="0" fontId="10" fillId="12" borderId="52" xfId="0" applyFont="1" applyFill="1" applyBorder="1" applyAlignment="1">
      <alignment vertical="center"/>
    </xf>
    <xf numFmtId="0" fontId="10" fillId="16" borderId="68" xfId="0" applyFont="1" applyFill="1" applyBorder="1" applyAlignment="1">
      <alignment vertical="center"/>
    </xf>
    <xf numFmtId="0" fontId="10" fillId="16" borderId="19" xfId="0" applyFont="1" applyFill="1" applyBorder="1" applyAlignment="1">
      <alignment vertical="center"/>
    </xf>
    <xf numFmtId="0" fontId="10" fillId="20" borderId="8" xfId="0" applyFont="1" applyFill="1" applyBorder="1" applyAlignment="1">
      <alignment vertical="center"/>
    </xf>
    <xf numFmtId="0" fontId="10" fillId="20" borderId="19" xfId="0" applyFont="1" applyFill="1" applyBorder="1" applyAlignment="1">
      <alignment vertical="center"/>
    </xf>
    <xf numFmtId="0" fontId="10" fillId="20" borderId="78" xfId="0" applyFont="1" applyFill="1" applyBorder="1" applyAlignment="1">
      <alignment horizontal="center" vertical="center"/>
    </xf>
    <xf numFmtId="0" fontId="10" fillId="20" borderId="18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vertical="center"/>
    </xf>
    <xf numFmtId="0" fontId="10" fillId="22" borderId="7" xfId="0" applyFont="1" applyFill="1" applyBorder="1" applyAlignment="1">
      <alignment vertical="center"/>
    </xf>
    <xf numFmtId="0" fontId="10" fillId="0" borderId="62" xfId="0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0" fontId="10" fillId="0" borderId="63" xfId="0" applyFont="1" applyBorder="1" applyAlignment="1">
      <alignment horizontal="center" vertical="center"/>
    </xf>
    <xf numFmtId="0" fontId="12" fillId="0" borderId="51" xfId="0" applyFont="1" applyBorder="1" applyAlignment="1">
      <alignment vertical="center"/>
    </xf>
    <xf numFmtId="0" fontId="10" fillId="16" borderId="8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0" fillId="22" borderId="7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vertical="center"/>
    </xf>
    <xf numFmtId="0" fontId="10" fillId="16" borderId="7" xfId="0" applyFont="1" applyFill="1" applyBorder="1" applyAlignment="1">
      <alignment vertical="center"/>
    </xf>
    <xf numFmtId="0" fontId="10" fillId="12" borderId="8" xfId="0" applyFont="1" applyFill="1" applyBorder="1" applyAlignment="1">
      <alignment vertical="center"/>
    </xf>
    <xf numFmtId="0" fontId="10" fillId="12" borderId="7" xfId="0" applyFont="1" applyFill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0" fillId="16" borderId="72" xfId="0" applyFont="1" applyFill="1" applyBorder="1" applyAlignment="1">
      <alignment vertical="center"/>
    </xf>
    <xf numFmtId="0" fontId="10" fillId="16" borderId="52" xfId="0" applyFont="1" applyFill="1" applyBorder="1" applyAlignment="1">
      <alignment vertical="center"/>
    </xf>
    <xf numFmtId="0" fontId="10" fillId="22" borderId="68" xfId="0" applyFont="1" applyFill="1" applyBorder="1" applyAlignment="1">
      <alignment vertical="center"/>
    </xf>
    <xf numFmtId="0" fontId="10" fillId="22" borderId="19" xfId="0" applyFont="1" applyFill="1" applyBorder="1" applyAlignment="1">
      <alignment vertical="center"/>
    </xf>
    <xf numFmtId="0" fontId="10" fillId="12" borderId="73" xfId="0" applyFont="1" applyFill="1" applyBorder="1" applyAlignment="1">
      <alignment horizontal="center" vertical="center"/>
    </xf>
    <xf numFmtId="0" fontId="10" fillId="12" borderId="42" xfId="0" applyFont="1" applyFill="1" applyBorder="1" applyAlignment="1">
      <alignment horizontal="center" vertical="center"/>
    </xf>
    <xf numFmtId="0" fontId="10" fillId="16" borderId="38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10" fillId="16" borderId="73" xfId="0" applyFont="1" applyFill="1" applyBorder="1" applyAlignment="1">
      <alignment horizontal="center" vertical="center"/>
    </xf>
    <xf numFmtId="0" fontId="10" fillId="16" borderId="42" xfId="0" applyFont="1" applyFill="1" applyBorder="1" applyAlignment="1">
      <alignment horizontal="center" vertical="center"/>
    </xf>
    <xf numFmtId="0" fontId="10" fillId="22" borderId="38" xfId="0" applyFont="1" applyFill="1" applyBorder="1" applyAlignment="1">
      <alignment horizontal="center" vertical="center"/>
    </xf>
    <xf numFmtId="0" fontId="10" fillId="22" borderId="18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4" fillId="0" borderId="60" xfId="0" applyFont="1" applyBorder="1" applyAlignment="1">
      <alignment horizontal="left" vertical="center"/>
    </xf>
    <xf numFmtId="0" fontId="10" fillId="20" borderId="73" xfId="0" applyFont="1" applyFill="1" applyBorder="1" applyAlignment="1">
      <alignment horizontal="center" vertical="center"/>
    </xf>
    <xf numFmtId="0" fontId="10" fillId="20" borderId="42" xfId="0" applyFont="1" applyFill="1" applyBorder="1" applyAlignment="1">
      <alignment horizontal="center" vertical="center"/>
    </xf>
    <xf numFmtId="0" fontId="10" fillId="20" borderId="72" xfId="0" applyFont="1" applyFill="1" applyBorder="1" applyAlignment="1">
      <alignment vertical="center"/>
    </xf>
    <xf numFmtId="0" fontId="10" fillId="20" borderId="52" xfId="0" applyFont="1" applyFill="1" applyBorder="1" applyAlignment="1">
      <alignment vertical="center"/>
    </xf>
    <xf numFmtId="0" fontId="4" fillId="0" borderId="64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/>
    </xf>
    <xf numFmtId="0" fontId="11" fillId="15" borderId="11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24" borderId="11" xfId="0" applyFont="1" applyFill="1" applyBorder="1" applyAlignment="1">
      <alignment horizontal="center" vertical="center"/>
    </xf>
    <xf numFmtId="0" fontId="11" fillId="24" borderId="2" xfId="0" applyFont="1" applyFill="1" applyBorder="1" applyAlignment="1">
      <alignment horizontal="center" vertical="center"/>
    </xf>
    <xf numFmtId="0" fontId="11" fillId="25" borderId="11" xfId="0" applyFont="1" applyFill="1" applyBorder="1" applyAlignment="1">
      <alignment horizontal="center" vertical="center"/>
    </xf>
    <xf numFmtId="0" fontId="11" fillId="25" borderId="2" xfId="0" applyFont="1" applyFill="1" applyBorder="1" applyAlignment="1">
      <alignment horizontal="center" vertical="center"/>
    </xf>
    <xf numFmtId="0" fontId="4" fillId="0" borderId="70" xfId="0" applyFont="1" applyBorder="1" applyAlignment="1">
      <alignment horizontal="left" vertical="center"/>
    </xf>
    <xf numFmtId="0" fontId="4" fillId="0" borderId="71" xfId="0" applyFont="1" applyBorder="1" applyAlignment="1">
      <alignment horizontal="left" vertical="center"/>
    </xf>
    <xf numFmtId="0" fontId="12" fillId="0" borderId="60" xfId="0" applyFont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4" xr:uid="{00000000-0005-0000-0000-000003000000}"/>
    <cellStyle name="Normal 2 3" xfId="6" xr:uid="{00000000-0005-0000-0000-000004000000}"/>
    <cellStyle name="Normal 3" xfId="2" xr:uid="{00000000-0005-0000-0000-000005000000}"/>
    <cellStyle name="Normal 4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workbookViewId="0">
      <selection activeCell="A9" sqref="A9:XFD10"/>
    </sheetView>
  </sheetViews>
  <sheetFormatPr defaultRowHeight="26.25"/>
  <cols>
    <col min="1" max="1" width="14.42578125" style="225" bestFit="1" customWidth="1"/>
    <col min="2" max="4" width="32.7109375" style="228" customWidth="1"/>
    <col min="5" max="16384" width="9.140625" style="225"/>
  </cols>
  <sheetData>
    <row r="1" spans="1:4">
      <c r="A1" s="225" t="s">
        <v>1155</v>
      </c>
      <c r="B1" s="226" t="s">
        <v>1156</v>
      </c>
      <c r="C1" s="226" t="s">
        <v>1156</v>
      </c>
      <c r="D1" s="226"/>
    </row>
    <row r="2" spans="1:4">
      <c r="A2" s="225" t="s">
        <v>1157</v>
      </c>
      <c r="B2" s="226" t="s">
        <v>1158</v>
      </c>
      <c r="C2" s="226"/>
      <c r="D2" s="226"/>
    </row>
    <row r="3" spans="1:4">
      <c r="B3" s="226" t="s">
        <v>1158</v>
      </c>
      <c r="C3" s="226" t="s">
        <v>1158</v>
      </c>
      <c r="D3" s="226"/>
    </row>
    <row r="4" spans="1:4">
      <c r="B4" s="226" t="s">
        <v>1159</v>
      </c>
      <c r="C4" s="226" t="s">
        <v>1159</v>
      </c>
      <c r="D4" s="226" t="s">
        <v>1160</v>
      </c>
    </row>
    <row r="5" spans="1:4">
      <c r="B5" s="226" t="s">
        <v>1161</v>
      </c>
      <c r="C5" s="226" t="s">
        <v>1161</v>
      </c>
      <c r="D5" s="226"/>
    </row>
    <row r="6" spans="1:4">
      <c r="B6" s="226" t="s">
        <v>1162</v>
      </c>
      <c r="C6" s="226" t="s">
        <v>1162</v>
      </c>
      <c r="D6" s="226"/>
    </row>
    <row r="7" spans="1:4">
      <c r="B7" s="226" t="s">
        <v>1163</v>
      </c>
      <c r="C7" s="226"/>
      <c r="D7" s="226"/>
    </row>
    <row r="8" spans="1:4">
      <c r="B8" s="226" t="s">
        <v>1164</v>
      </c>
      <c r="C8" s="226"/>
      <c r="D8" s="226"/>
    </row>
    <row r="9" spans="1:4">
      <c r="B9" s="226" t="s">
        <v>1165</v>
      </c>
      <c r="C9" s="226"/>
      <c r="D9" s="226"/>
    </row>
    <row r="10" spans="1:4">
      <c r="B10" s="226" t="s">
        <v>1166</v>
      </c>
      <c r="C10" s="226" t="s">
        <v>1166</v>
      </c>
      <c r="D10" s="226" t="s">
        <v>1166</v>
      </c>
    </row>
    <row r="12" spans="1:4" ht="99.95" customHeight="1">
      <c r="B12" s="227" t="s">
        <v>105</v>
      </c>
      <c r="C12" s="227" t="s">
        <v>111</v>
      </c>
      <c r="D12" s="227" t="s">
        <v>500</v>
      </c>
    </row>
    <row r="13" spans="1:4" ht="99.95" customHeight="1">
      <c r="B13" s="227" t="s">
        <v>109</v>
      </c>
      <c r="C13" s="227" t="s">
        <v>129</v>
      </c>
      <c r="D13" s="227" t="s">
        <v>504</v>
      </c>
    </row>
    <row r="14" spans="1:4" ht="99.95" customHeight="1">
      <c r="B14" s="227" t="s">
        <v>117</v>
      </c>
      <c r="C14" s="227" t="s">
        <v>134</v>
      </c>
      <c r="D14" s="227" t="s">
        <v>507</v>
      </c>
    </row>
    <row r="15" spans="1:4" ht="99.95" customHeight="1">
      <c r="B15" s="227" t="s">
        <v>124</v>
      </c>
      <c r="C15" s="227" t="s">
        <v>374</v>
      </c>
      <c r="D15" s="227"/>
    </row>
    <row r="16" spans="1:4" ht="99.95" customHeight="1">
      <c r="B16" s="227" t="s">
        <v>1167</v>
      </c>
      <c r="C16" s="227" t="s">
        <v>1168</v>
      </c>
      <c r="D16" s="227"/>
    </row>
    <row r="17" spans="2:4" ht="99.95" customHeight="1">
      <c r="B17" s="227" t="s">
        <v>1169</v>
      </c>
      <c r="C17" s="227" t="s">
        <v>1170</v>
      </c>
      <c r="D17" s="227"/>
    </row>
    <row r="18" spans="2:4" ht="99.95" customHeight="1">
      <c r="B18" s="227" t="s">
        <v>1171</v>
      </c>
      <c r="C18" s="227"/>
      <c r="D18" s="227"/>
    </row>
    <row r="19" spans="2:4" ht="99.95" customHeight="1">
      <c r="B19" s="227" t="s">
        <v>1172</v>
      </c>
      <c r="C19" s="227"/>
      <c r="D19" s="227"/>
    </row>
  </sheetData>
  <printOptions horizontalCentered="1"/>
  <pageMargins left="0" right="0" top="0" bottom="0" header="0.31496062992125984" footer="0.31496062992125984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6"/>
  <sheetViews>
    <sheetView workbookViewId="0">
      <selection activeCell="B31" sqref="B31"/>
    </sheetView>
  </sheetViews>
  <sheetFormatPr defaultRowHeight="16.5"/>
  <cols>
    <col min="1" max="1" width="9.140625" style="300"/>
    <col min="2" max="2" width="12.28515625" style="300" bestFit="1" customWidth="1"/>
    <col min="3" max="3" width="19.28515625" style="301" customWidth="1"/>
    <col min="4" max="4" width="12.5703125" style="301" customWidth="1"/>
    <col min="5" max="5" width="30.5703125" style="301" customWidth="1"/>
    <col min="6" max="6" width="11.85546875" style="301" bestFit="1" customWidth="1"/>
    <col min="7" max="9" width="10.28515625" style="301" bestFit="1" customWidth="1"/>
    <col min="10" max="10" width="15.7109375" style="301" bestFit="1" customWidth="1"/>
    <col min="11" max="11" width="11" style="301" bestFit="1" customWidth="1"/>
    <col min="12" max="12" width="14.140625" style="301" customWidth="1"/>
    <col min="13" max="13" width="8.5703125" style="301" bestFit="1" customWidth="1"/>
    <col min="14" max="16384" width="9.140625" style="301"/>
  </cols>
  <sheetData>
    <row r="1" spans="1:13">
      <c r="A1" s="299" t="s">
        <v>1337</v>
      </c>
    </row>
    <row r="2" spans="1:13">
      <c r="A2" s="299" t="s">
        <v>1338</v>
      </c>
    </row>
    <row r="3" spans="1:13">
      <c r="A3" s="299" t="s">
        <v>1339</v>
      </c>
    </row>
    <row r="5" spans="1:13" ht="18">
      <c r="A5" s="361" t="s">
        <v>1340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</row>
    <row r="6" spans="1:13" ht="17.25" thickBot="1"/>
    <row r="7" spans="1:13">
      <c r="A7" s="362" t="s">
        <v>1</v>
      </c>
      <c r="B7" s="364" t="s">
        <v>1341</v>
      </c>
      <c r="C7" s="364" t="s">
        <v>1342</v>
      </c>
      <c r="D7" s="364" t="s">
        <v>1343</v>
      </c>
      <c r="E7" s="364"/>
      <c r="F7" s="364"/>
      <c r="G7" s="364"/>
      <c r="H7" s="364"/>
      <c r="I7" s="364"/>
      <c r="J7" s="364" t="s">
        <v>1344</v>
      </c>
      <c r="K7" s="364" t="s">
        <v>1345</v>
      </c>
      <c r="L7" s="366" t="s">
        <v>1346</v>
      </c>
      <c r="M7" s="368" t="s">
        <v>1347</v>
      </c>
    </row>
    <row r="8" spans="1:13" ht="17.25" thickBot="1">
      <c r="A8" s="363"/>
      <c r="B8" s="365"/>
      <c r="C8" s="365"/>
      <c r="D8" s="365"/>
      <c r="E8" s="365"/>
      <c r="F8" s="365"/>
      <c r="G8" s="302" t="s">
        <v>1348</v>
      </c>
      <c r="H8" s="302" t="s">
        <v>1349</v>
      </c>
      <c r="I8" s="302" t="s">
        <v>1350</v>
      </c>
      <c r="J8" s="365"/>
      <c r="K8" s="365"/>
      <c r="L8" s="367"/>
      <c r="M8" s="369"/>
    </row>
    <row r="9" spans="1:13" ht="33">
      <c r="A9" s="358">
        <v>1</v>
      </c>
      <c r="B9" s="359" t="s">
        <v>1351</v>
      </c>
      <c r="C9" s="303" t="s">
        <v>1352</v>
      </c>
      <c r="D9" s="304" t="s">
        <v>1353</v>
      </c>
      <c r="E9" s="305" t="s">
        <v>1354</v>
      </c>
      <c r="F9" s="306" t="s">
        <v>1355</v>
      </c>
      <c r="G9" s="321" t="s">
        <v>1356</v>
      </c>
      <c r="H9" s="321" t="s">
        <v>1357</v>
      </c>
      <c r="I9" s="321" t="s">
        <v>1358</v>
      </c>
      <c r="J9" s="360" t="s">
        <v>1359</v>
      </c>
      <c r="K9" s="354" t="s">
        <v>1360</v>
      </c>
      <c r="L9" s="355" t="s">
        <v>1361</v>
      </c>
      <c r="M9" s="342" t="s">
        <v>1362</v>
      </c>
    </row>
    <row r="10" spans="1:13" ht="49.5">
      <c r="A10" s="358"/>
      <c r="B10" s="359"/>
      <c r="C10" s="303" t="s">
        <v>1363</v>
      </c>
      <c r="D10" s="303" t="s">
        <v>1364</v>
      </c>
      <c r="E10" s="305" t="s">
        <v>1365</v>
      </c>
      <c r="F10" s="307" t="s">
        <v>1355</v>
      </c>
      <c r="G10" s="327"/>
      <c r="H10" s="327"/>
      <c r="I10" s="327"/>
      <c r="J10" s="360"/>
      <c r="K10" s="327"/>
      <c r="L10" s="346"/>
      <c r="M10" s="344"/>
    </row>
    <row r="11" spans="1:13" ht="16.5" customHeight="1">
      <c r="A11" s="329">
        <v>2</v>
      </c>
      <c r="B11" s="332" t="s">
        <v>1366</v>
      </c>
      <c r="C11" s="305" t="s">
        <v>1367</v>
      </c>
      <c r="D11" s="347" t="s">
        <v>1368</v>
      </c>
      <c r="E11" s="357" t="s">
        <v>1369</v>
      </c>
      <c r="F11" s="307" t="s">
        <v>1355</v>
      </c>
      <c r="G11" s="321" t="s">
        <v>1370</v>
      </c>
      <c r="H11" s="321" t="s">
        <v>1371</v>
      </c>
      <c r="I11" s="321" t="s">
        <v>1372</v>
      </c>
      <c r="J11" s="321" t="s">
        <v>1373</v>
      </c>
      <c r="K11" s="321" t="s">
        <v>1374</v>
      </c>
      <c r="L11" s="332" t="s">
        <v>1375</v>
      </c>
      <c r="M11" s="342" t="s">
        <v>1376</v>
      </c>
    </row>
    <row r="12" spans="1:13">
      <c r="A12" s="330"/>
      <c r="B12" s="333"/>
      <c r="C12" s="305" t="s">
        <v>1377</v>
      </c>
      <c r="D12" s="348"/>
      <c r="E12" s="350"/>
      <c r="F12" s="307" t="s">
        <v>1355</v>
      </c>
      <c r="G12" s="322"/>
      <c r="H12" s="322"/>
      <c r="I12" s="322"/>
      <c r="J12" s="322"/>
      <c r="K12" s="322"/>
      <c r="L12" s="333"/>
      <c r="M12" s="343"/>
    </row>
    <row r="13" spans="1:13">
      <c r="A13" s="345"/>
      <c r="B13" s="346"/>
      <c r="C13" s="305" t="s">
        <v>1378</v>
      </c>
      <c r="D13" s="356"/>
      <c r="E13" s="351"/>
      <c r="F13" s="307" t="s">
        <v>1355</v>
      </c>
      <c r="G13" s="327"/>
      <c r="H13" s="327"/>
      <c r="I13" s="327"/>
      <c r="J13" s="327"/>
      <c r="K13" s="327"/>
      <c r="L13" s="346"/>
      <c r="M13" s="344"/>
    </row>
    <row r="14" spans="1:13">
      <c r="A14" s="329">
        <v>3</v>
      </c>
      <c r="B14" s="332" t="s">
        <v>1173</v>
      </c>
      <c r="C14" s="308" t="s">
        <v>1379</v>
      </c>
      <c r="D14" s="309" t="s">
        <v>1380</v>
      </c>
      <c r="E14" s="349" t="s">
        <v>1381</v>
      </c>
      <c r="F14" s="306" t="s">
        <v>1382</v>
      </c>
      <c r="G14" s="321" t="s">
        <v>1383</v>
      </c>
      <c r="H14" s="321" t="s">
        <v>1370</v>
      </c>
      <c r="I14" s="321" t="s">
        <v>1384</v>
      </c>
      <c r="J14" s="321" t="s">
        <v>1373</v>
      </c>
      <c r="K14" s="336" t="s">
        <v>1385</v>
      </c>
      <c r="L14" s="337"/>
      <c r="M14" s="342" t="s">
        <v>1386</v>
      </c>
    </row>
    <row r="15" spans="1:13">
      <c r="A15" s="330"/>
      <c r="B15" s="333"/>
      <c r="C15" s="308" t="s">
        <v>1387</v>
      </c>
      <c r="D15" s="309" t="s">
        <v>1388</v>
      </c>
      <c r="E15" s="352"/>
      <c r="F15" s="306" t="s">
        <v>1382</v>
      </c>
      <c r="G15" s="322"/>
      <c r="H15" s="322"/>
      <c r="I15" s="322"/>
      <c r="J15" s="322"/>
      <c r="K15" s="338"/>
      <c r="L15" s="339"/>
      <c r="M15" s="343"/>
    </row>
    <row r="16" spans="1:13">
      <c r="A16" s="330"/>
      <c r="B16" s="333"/>
      <c r="C16" s="308" t="s">
        <v>1389</v>
      </c>
      <c r="D16" s="309" t="s">
        <v>1380</v>
      </c>
      <c r="E16" s="352"/>
      <c r="F16" s="306" t="s">
        <v>1382</v>
      </c>
      <c r="G16" s="322"/>
      <c r="H16" s="322"/>
      <c r="I16" s="322"/>
      <c r="J16" s="322"/>
      <c r="K16" s="338"/>
      <c r="L16" s="339"/>
      <c r="M16" s="343"/>
    </row>
    <row r="17" spans="1:13">
      <c r="A17" s="330"/>
      <c r="B17" s="333"/>
      <c r="C17" s="308" t="s">
        <v>1390</v>
      </c>
      <c r="D17" s="309" t="s">
        <v>1380</v>
      </c>
      <c r="E17" s="352"/>
      <c r="F17" s="306" t="s">
        <v>1382</v>
      </c>
      <c r="G17" s="322"/>
      <c r="H17" s="322"/>
      <c r="I17" s="322"/>
      <c r="J17" s="322"/>
      <c r="K17" s="338"/>
      <c r="L17" s="339"/>
      <c r="M17" s="343"/>
    </row>
    <row r="18" spans="1:13">
      <c r="A18" s="330"/>
      <c r="B18" s="333"/>
      <c r="C18" s="308" t="s">
        <v>1391</v>
      </c>
      <c r="D18" s="309" t="s">
        <v>1392</v>
      </c>
      <c r="E18" s="352"/>
      <c r="F18" s="306" t="s">
        <v>1382</v>
      </c>
      <c r="G18" s="322"/>
      <c r="H18" s="322"/>
      <c r="I18" s="322"/>
      <c r="J18" s="322"/>
      <c r="K18" s="338"/>
      <c r="L18" s="339"/>
      <c r="M18" s="343"/>
    </row>
    <row r="19" spans="1:13">
      <c r="A19" s="345"/>
      <c r="B19" s="346"/>
      <c r="C19" s="308" t="s">
        <v>1393</v>
      </c>
      <c r="D19" s="309" t="s">
        <v>1394</v>
      </c>
      <c r="E19" s="353"/>
      <c r="F19" s="306" t="s">
        <v>1382</v>
      </c>
      <c r="G19" s="327"/>
      <c r="H19" s="327"/>
      <c r="I19" s="327"/>
      <c r="J19" s="327"/>
      <c r="K19" s="340"/>
      <c r="L19" s="341"/>
      <c r="M19" s="344"/>
    </row>
    <row r="20" spans="1:13" ht="82.5">
      <c r="A20" s="310">
        <v>4</v>
      </c>
      <c r="B20" s="307" t="s">
        <v>38</v>
      </c>
      <c r="C20" s="305" t="s">
        <v>1395</v>
      </c>
      <c r="D20" s="303" t="s">
        <v>1396</v>
      </c>
      <c r="E20" s="305" t="s">
        <v>1397</v>
      </c>
      <c r="F20" s="300" t="s">
        <v>1398</v>
      </c>
      <c r="G20" s="306" t="s">
        <v>1399</v>
      </c>
      <c r="H20" s="306" t="s">
        <v>1370</v>
      </c>
      <c r="I20" s="306" t="s">
        <v>1400</v>
      </c>
      <c r="J20" s="306" t="s">
        <v>969</v>
      </c>
      <c r="K20" s="306" t="s">
        <v>1401</v>
      </c>
      <c r="L20" s="311" t="s">
        <v>1402</v>
      </c>
      <c r="M20" s="312" t="s">
        <v>1403</v>
      </c>
    </row>
    <row r="21" spans="1:13">
      <c r="A21" s="329">
        <v>5</v>
      </c>
      <c r="B21" s="332" t="s">
        <v>1175</v>
      </c>
      <c r="C21" s="303" t="s">
        <v>1404</v>
      </c>
      <c r="D21" s="347" t="s">
        <v>1368</v>
      </c>
      <c r="E21" s="349" t="s">
        <v>1405</v>
      </c>
      <c r="F21" s="307" t="s">
        <v>1355</v>
      </c>
      <c r="G21" s="321" t="s">
        <v>1406</v>
      </c>
      <c r="H21" s="321" t="s">
        <v>1370</v>
      </c>
      <c r="I21" s="321" t="s">
        <v>1407</v>
      </c>
      <c r="J21" s="321" t="s">
        <v>969</v>
      </c>
      <c r="K21" s="321" t="s">
        <v>1408</v>
      </c>
      <c r="L21" s="321" t="s">
        <v>1409</v>
      </c>
      <c r="M21" s="324" t="s">
        <v>1410</v>
      </c>
    </row>
    <row r="22" spans="1:13">
      <c r="A22" s="330"/>
      <c r="B22" s="333"/>
      <c r="C22" s="303" t="s">
        <v>1411</v>
      </c>
      <c r="D22" s="348"/>
      <c r="E22" s="350"/>
      <c r="F22" s="307" t="s">
        <v>1355</v>
      </c>
      <c r="G22" s="322"/>
      <c r="H22" s="322"/>
      <c r="I22" s="322"/>
      <c r="J22" s="322"/>
      <c r="K22" s="322"/>
      <c r="L22" s="322"/>
      <c r="M22" s="325"/>
    </row>
    <row r="23" spans="1:13">
      <c r="A23" s="330"/>
      <c r="B23" s="333"/>
      <c r="C23" s="303" t="s">
        <v>1367</v>
      </c>
      <c r="D23" s="348"/>
      <c r="E23" s="350"/>
      <c r="F23" s="307" t="s">
        <v>1355</v>
      </c>
      <c r="G23" s="322"/>
      <c r="H23" s="322"/>
      <c r="I23" s="322"/>
      <c r="J23" s="322"/>
      <c r="K23" s="322"/>
      <c r="L23" s="322"/>
      <c r="M23" s="325"/>
    </row>
    <row r="24" spans="1:13">
      <c r="A24" s="330"/>
      <c r="B24" s="333"/>
      <c r="C24" s="303" t="s">
        <v>1377</v>
      </c>
      <c r="D24" s="348"/>
      <c r="E24" s="351"/>
      <c r="F24" s="307" t="s">
        <v>1355</v>
      </c>
      <c r="G24" s="322"/>
      <c r="H24" s="322"/>
      <c r="I24" s="322"/>
      <c r="J24" s="322"/>
      <c r="K24" s="322"/>
      <c r="L24" s="322"/>
      <c r="M24" s="325"/>
    </row>
    <row r="25" spans="1:13" ht="82.5">
      <c r="A25" s="345"/>
      <c r="B25" s="346"/>
      <c r="C25" s="303" t="s">
        <v>1412</v>
      </c>
      <c r="D25" s="313" t="s">
        <v>1413</v>
      </c>
      <c r="E25" s="314" t="s">
        <v>1414</v>
      </c>
      <c r="F25" s="307" t="s">
        <v>1415</v>
      </c>
      <c r="G25" s="327"/>
      <c r="H25" s="327"/>
      <c r="I25" s="327"/>
      <c r="J25" s="327"/>
      <c r="K25" s="327"/>
      <c r="L25" s="327"/>
      <c r="M25" s="328"/>
    </row>
    <row r="26" spans="1:13" ht="66">
      <c r="A26" s="329">
        <v>6</v>
      </c>
      <c r="B26" s="332" t="s">
        <v>1176</v>
      </c>
      <c r="C26" s="305" t="s">
        <v>1416</v>
      </c>
      <c r="D26" s="335" t="s">
        <v>1417</v>
      </c>
      <c r="E26" s="309" t="s">
        <v>1418</v>
      </c>
      <c r="F26" s="307" t="s">
        <v>1419</v>
      </c>
      <c r="G26" s="321" t="s">
        <v>1406</v>
      </c>
      <c r="H26" s="321" t="s">
        <v>1370</v>
      </c>
      <c r="I26" s="321" t="s">
        <v>1407</v>
      </c>
      <c r="J26" s="321" t="s">
        <v>969</v>
      </c>
      <c r="K26" s="321" t="s">
        <v>1420</v>
      </c>
      <c r="L26" s="321" t="s">
        <v>1421</v>
      </c>
      <c r="M26" s="324" t="s">
        <v>1422</v>
      </c>
    </row>
    <row r="27" spans="1:13" ht="66">
      <c r="A27" s="330"/>
      <c r="B27" s="333"/>
      <c r="C27" s="315" t="s">
        <v>1404</v>
      </c>
      <c r="D27" s="322"/>
      <c r="E27" s="309" t="s">
        <v>1423</v>
      </c>
      <c r="F27" s="307" t="s">
        <v>1419</v>
      </c>
      <c r="G27" s="322"/>
      <c r="H27" s="322"/>
      <c r="I27" s="322"/>
      <c r="J27" s="322"/>
      <c r="K27" s="322"/>
      <c r="L27" s="322"/>
      <c r="M27" s="325"/>
    </row>
    <row r="28" spans="1:13" ht="17.25" thickBot="1">
      <c r="A28" s="331"/>
      <c r="B28" s="334"/>
      <c r="C28" s="316"/>
      <c r="D28" s="323"/>
      <c r="E28" s="317"/>
      <c r="F28" s="318"/>
      <c r="G28" s="323"/>
      <c r="H28" s="323"/>
      <c r="I28" s="323"/>
      <c r="J28" s="323"/>
      <c r="K28" s="323"/>
      <c r="L28" s="323"/>
      <c r="M28" s="326"/>
    </row>
    <row r="30" spans="1:13">
      <c r="A30" s="319" t="s">
        <v>1424</v>
      </c>
    </row>
    <row r="31" spans="1:13">
      <c r="A31" s="300">
        <v>1</v>
      </c>
      <c r="B31" s="300" t="s">
        <v>1425</v>
      </c>
      <c r="C31" s="301" t="s">
        <v>1426</v>
      </c>
      <c r="D31" s="301" t="s">
        <v>1427</v>
      </c>
      <c r="E31" s="300" t="s">
        <v>1428</v>
      </c>
    </row>
    <row r="32" spans="1:13">
      <c r="A32" s="300">
        <v>2</v>
      </c>
      <c r="B32" s="300" t="s">
        <v>1425</v>
      </c>
      <c r="C32" s="301" t="s">
        <v>1301</v>
      </c>
      <c r="D32" s="301" t="s">
        <v>1429</v>
      </c>
      <c r="E32" s="300" t="s">
        <v>1430</v>
      </c>
    </row>
    <row r="33" spans="1:5">
      <c r="A33" s="300">
        <v>3</v>
      </c>
      <c r="B33" s="300" t="s">
        <v>1425</v>
      </c>
      <c r="C33" s="301" t="s">
        <v>442</v>
      </c>
      <c r="D33" s="301" t="s">
        <v>1429</v>
      </c>
      <c r="E33" s="300" t="s">
        <v>1431</v>
      </c>
    </row>
    <row r="34" spans="1:5">
      <c r="A34" s="300">
        <v>3</v>
      </c>
      <c r="B34" s="300" t="s">
        <v>1432</v>
      </c>
      <c r="C34" s="301" t="s">
        <v>1433</v>
      </c>
      <c r="D34" s="301" t="s">
        <v>1434</v>
      </c>
      <c r="E34" s="300" t="s">
        <v>1435</v>
      </c>
    </row>
    <row r="35" spans="1:5">
      <c r="A35" s="320" t="s">
        <v>1436</v>
      </c>
    </row>
    <row r="36" spans="1:5">
      <c r="B36" s="299" t="s">
        <v>1437</v>
      </c>
    </row>
  </sheetData>
  <mergeCells count="60">
    <mergeCell ref="A5:M5"/>
    <mergeCell ref="A7:A8"/>
    <mergeCell ref="B7:B8"/>
    <mergeCell ref="C7:C8"/>
    <mergeCell ref="D7:F8"/>
    <mergeCell ref="G7:I7"/>
    <mergeCell ref="J7:J8"/>
    <mergeCell ref="K7:K8"/>
    <mergeCell ref="L7:L8"/>
    <mergeCell ref="M7:M8"/>
    <mergeCell ref="K9:K10"/>
    <mergeCell ref="L9:L10"/>
    <mergeCell ref="M9:M10"/>
    <mergeCell ref="A11:A13"/>
    <mergeCell ref="B11:B13"/>
    <mergeCell ref="D11:D13"/>
    <mergeCell ref="E11:E13"/>
    <mergeCell ref="G11:G13"/>
    <mergeCell ref="H11:H13"/>
    <mergeCell ref="I11:I13"/>
    <mergeCell ref="A9:A10"/>
    <mergeCell ref="B9:B10"/>
    <mergeCell ref="G9:G10"/>
    <mergeCell ref="H9:H10"/>
    <mergeCell ref="I9:I10"/>
    <mergeCell ref="J9:J10"/>
    <mergeCell ref="J11:J13"/>
    <mergeCell ref="K11:K13"/>
    <mergeCell ref="L11:L13"/>
    <mergeCell ref="M11:M13"/>
    <mergeCell ref="A14:A19"/>
    <mergeCell ref="B14:B19"/>
    <mergeCell ref="E14:E19"/>
    <mergeCell ref="G14:G19"/>
    <mergeCell ref="H14:H19"/>
    <mergeCell ref="I14:I19"/>
    <mergeCell ref="I26:I28"/>
    <mergeCell ref="J14:J19"/>
    <mergeCell ref="K14:L19"/>
    <mergeCell ref="M14:M19"/>
    <mergeCell ref="A21:A25"/>
    <mergeCell ref="B21:B25"/>
    <mergeCell ref="D21:D24"/>
    <mergeCell ref="E21:E24"/>
    <mergeCell ref="G21:G25"/>
    <mergeCell ref="H21:H25"/>
    <mergeCell ref="I21:I25"/>
    <mergeCell ref="A26:A28"/>
    <mergeCell ref="B26:B28"/>
    <mergeCell ref="D26:D28"/>
    <mergeCell ref="G26:G28"/>
    <mergeCell ref="H26:H28"/>
    <mergeCell ref="J26:J28"/>
    <mergeCell ref="K26:K28"/>
    <mergeCell ref="L26:L28"/>
    <mergeCell ref="M26:M28"/>
    <mergeCell ref="J21:J25"/>
    <mergeCell ref="K21:K25"/>
    <mergeCell ref="L21:L25"/>
    <mergeCell ref="M21:M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18"/>
  <sheetViews>
    <sheetView workbookViewId="0">
      <pane xSplit="2" ySplit="3" topLeftCell="L4" activePane="bottomRight" state="frozen"/>
      <selection activeCell="T47" sqref="T47"/>
      <selection pane="topRight" activeCell="T47" sqref="T47"/>
      <selection pane="bottomLeft" activeCell="T47" sqref="T47"/>
      <selection pane="bottomRight" activeCell="T47" sqref="T47"/>
    </sheetView>
  </sheetViews>
  <sheetFormatPr defaultColWidth="14.42578125" defaultRowHeight="15"/>
  <cols>
    <col min="1" max="1" width="5" style="298" bestFit="1" customWidth="1"/>
    <col min="2" max="2" width="4.85546875" style="298" bestFit="1" customWidth="1"/>
    <col min="3" max="7" width="10.7109375" style="261" hidden="1" customWidth="1"/>
    <col min="8" max="8" width="14" style="261" customWidth="1"/>
    <col min="9" max="12" width="10.7109375" style="261" customWidth="1"/>
    <col min="13" max="16" width="6.140625" style="261" bestFit="1" customWidth="1"/>
    <col min="17" max="17" width="8.42578125" style="261" bestFit="1" customWidth="1"/>
    <col min="18" max="18" width="8.85546875" style="261" customWidth="1"/>
    <col min="19" max="21" width="9.7109375" style="261" customWidth="1"/>
    <col min="22" max="22" width="14.7109375" style="261" customWidth="1"/>
    <col min="23" max="23" width="11.85546875" style="261" bestFit="1" customWidth="1"/>
    <col min="24" max="25" width="14.7109375" style="261" bestFit="1" customWidth="1"/>
    <col min="26" max="26" width="8.7109375" style="261" bestFit="1" customWidth="1"/>
    <col min="27" max="27" width="14.7109375" style="261" bestFit="1" customWidth="1"/>
    <col min="28" max="16384" width="14.42578125" style="261"/>
  </cols>
  <sheetData>
    <row r="1" spans="1:27" ht="25.5">
      <c r="A1" s="259" t="s">
        <v>957</v>
      </c>
      <c r="B1" s="259" t="s">
        <v>958</v>
      </c>
      <c r="C1" s="478" t="s">
        <v>959</v>
      </c>
      <c r="D1" s="483"/>
      <c r="E1" s="483"/>
      <c r="F1" s="483"/>
      <c r="G1" s="483"/>
      <c r="H1" s="260" t="s">
        <v>960</v>
      </c>
      <c r="I1" s="488" t="s">
        <v>961</v>
      </c>
      <c r="J1" s="488"/>
      <c r="K1" s="489" t="s">
        <v>962</v>
      </c>
      <c r="L1" s="490"/>
      <c r="M1" s="488" t="s">
        <v>963</v>
      </c>
      <c r="N1" s="488"/>
      <c r="O1" s="488"/>
      <c r="P1" s="488"/>
      <c r="Q1" s="485" t="s">
        <v>964</v>
      </c>
      <c r="R1" s="486"/>
      <c r="S1" s="487" t="s">
        <v>965</v>
      </c>
      <c r="T1" s="487"/>
      <c r="U1" s="487"/>
      <c r="V1" s="480" t="s">
        <v>1288</v>
      </c>
      <c r="W1" s="480"/>
      <c r="X1" s="480"/>
      <c r="Y1" s="480"/>
      <c r="Z1" s="480"/>
      <c r="AA1" s="480"/>
    </row>
    <row r="2" spans="1:27">
      <c r="A2" s="481" t="s">
        <v>966</v>
      </c>
      <c r="B2" s="482"/>
      <c r="C2" s="478" t="s">
        <v>967</v>
      </c>
      <c r="D2" s="483"/>
      <c r="E2" s="483"/>
      <c r="F2" s="483"/>
      <c r="G2" s="483"/>
      <c r="H2" s="260" t="s">
        <v>968</v>
      </c>
      <c r="I2" s="481" t="s">
        <v>969</v>
      </c>
      <c r="J2" s="484"/>
      <c r="K2" s="484"/>
      <c r="L2" s="484"/>
      <c r="M2" s="484"/>
      <c r="N2" s="484"/>
      <c r="O2" s="484"/>
      <c r="P2" s="482"/>
      <c r="Q2" s="485" t="s">
        <v>970</v>
      </c>
      <c r="R2" s="486"/>
      <c r="S2" s="487" t="s">
        <v>971</v>
      </c>
      <c r="T2" s="487"/>
      <c r="U2" s="401"/>
      <c r="V2" s="480"/>
      <c r="W2" s="480"/>
      <c r="X2" s="480"/>
      <c r="Y2" s="480"/>
      <c r="Z2" s="480"/>
      <c r="AA2" s="480"/>
    </row>
    <row r="3" spans="1:27" ht="38.25">
      <c r="A3" s="476" t="s">
        <v>972</v>
      </c>
      <c r="B3" s="477"/>
      <c r="C3" s="478" t="s">
        <v>973</v>
      </c>
      <c r="D3" s="479"/>
      <c r="E3" s="262" t="s">
        <v>974</v>
      </c>
      <c r="F3" s="262" t="s">
        <v>975</v>
      </c>
      <c r="G3" s="262" t="s">
        <v>976</v>
      </c>
      <c r="H3" s="260" t="s">
        <v>977</v>
      </c>
      <c r="I3" s="259" t="s">
        <v>978</v>
      </c>
      <c r="J3" s="259" t="s">
        <v>979</v>
      </c>
      <c r="K3" s="260" t="s">
        <v>980</v>
      </c>
      <c r="L3" s="260" t="s">
        <v>981</v>
      </c>
      <c r="M3" s="263" t="s">
        <v>982</v>
      </c>
      <c r="N3" s="263" t="s">
        <v>983</v>
      </c>
      <c r="O3" s="263" t="s">
        <v>984</v>
      </c>
      <c r="P3" s="263" t="s">
        <v>985</v>
      </c>
      <c r="Q3" s="264" t="s">
        <v>986</v>
      </c>
      <c r="R3" s="264" t="s">
        <v>1289</v>
      </c>
      <c r="S3" s="265" t="s">
        <v>988</v>
      </c>
      <c r="T3" s="265" t="s">
        <v>989</v>
      </c>
      <c r="U3" s="265" t="s">
        <v>990</v>
      </c>
      <c r="V3" s="260" t="s">
        <v>1173</v>
      </c>
      <c r="W3" s="259" t="s">
        <v>1176</v>
      </c>
      <c r="X3" s="259" t="s">
        <v>1175</v>
      </c>
      <c r="Y3" s="265" t="s">
        <v>1290</v>
      </c>
      <c r="Z3" s="265" t="s">
        <v>1291</v>
      </c>
      <c r="AA3" s="265" t="s">
        <v>1292</v>
      </c>
    </row>
    <row r="4" spans="1:27">
      <c r="A4" s="428" t="s">
        <v>991</v>
      </c>
      <c r="B4" s="429"/>
      <c r="C4" s="266" t="s">
        <v>992</v>
      </c>
      <c r="D4" s="266"/>
      <c r="E4" s="266"/>
      <c r="F4" s="266"/>
      <c r="G4" s="266"/>
      <c r="H4" s="266" t="s">
        <v>992</v>
      </c>
      <c r="I4" s="266" t="s">
        <v>992</v>
      </c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</row>
    <row r="5" spans="1:27" s="268" customFormat="1">
      <c r="A5" s="374" t="s">
        <v>993</v>
      </c>
      <c r="B5" s="375"/>
      <c r="C5" s="267" t="s">
        <v>994</v>
      </c>
      <c r="D5" s="267"/>
      <c r="E5" s="267"/>
      <c r="F5" s="267"/>
      <c r="G5" s="267"/>
      <c r="H5" s="267" t="s">
        <v>994</v>
      </c>
      <c r="I5" s="267" t="s">
        <v>994</v>
      </c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</row>
    <row r="6" spans="1:27" s="268" customFormat="1">
      <c r="A6" s="374" t="s">
        <v>995</v>
      </c>
      <c r="B6" s="375"/>
      <c r="C6" s="267" t="s">
        <v>996</v>
      </c>
      <c r="D6" s="267"/>
      <c r="E6" s="267"/>
      <c r="F6" s="267"/>
      <c r="G6" s="267"/>
      <c r="H6" s="267" t="s">
        <v>996</v>
      </c>
      <c r="I6" s="267" t="s">
        <v>996</v>
      </c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</row>
    <row r="7" spans="1:27" s="268" customFormat="1" ht="15" customHeight="1">
      <c r="A7" s="269">
        <v>0.54166666666666663</v>
      </c>
      <c r="B7" s="270">
        <v>0.5625</v>
      </c>
      <c r="C7" s="271"/>
      <c r="D7" s="271"/>
      <c r="E7" s="271"/>
      <c r="F7" s="271"/>
      <c r="G7" s="271"/>
      <c r="H7" s="271"/>
      <c r="I7" s="271"/>
      <c r="J7" s="271"/>
      <c r="K7" s="453" t="s">
        <v>1293</v>
      </c>
      <c r="L7" s="453" t="s">
        <v>1294</v>
      </c>
      <c r="M7" s="271"/>
      <c r="N7" s="271"/>
      <c r="O7" s="271"/>
      <c r="P7" s="271"/>
      <c r="Q7" s="271"/>
      <c r="R7" s="271"/>
      <c r="S7" s="271"/>
      <c r="T7" s="271"/>
      <c r="U7" s="271"/>
      <c r="V7" s="272"/>
      <c r="W7" s="455" t="s">
        <v>1295</v>
      </c>
      <c r="X7" s="456"/>
      <c r="Y7" s="272"/>
      <c r="Z7" s="272"/>
      <c r="AA7" s="272"/>
    </row>
    <row r="8" spans="1:27" s="268" customFormat="1">
      <c r="A8" s="270">
        <v>0.5625</v>
      </c>
      <c r="B8" s="273">
        <f t="shared" ref="B8:B16" si="0">A8+ TIME(0, 30, 0)</f>
        <v>0.58333333333333337</v>
      </c>
      <c r="C8" s="271"/>
      <c r="D8" s="271"/>
      <c r="E8" s="271"/>
      <c r="F8" s="271"/>
      <c r="G8" s="271"/>
      <c r="H8" s="271"/>
      <c r="I8" s="271"/>
      <c r="J8" s="271"/>
      <c r="K8" s="454"/>
      <c r="L8" s="454"/>
      <c r="M8" s="271"/>
      <c r="N8" s="271"/>
      <c r="O8" s="271"/>
      <c r="P8" s="271"/>
      <c r="Q8" s="271"/>
      <c r="R8" s="271"/>
      <c r="S8" s="271"/>
      <c r="T8" s="271"/>
      <c r="U8" s="271"/>
      <c r="V8" s="272"/>
      <c r="W8" s="457"/>
      <c r="X8" s="458"/>
      <c r="Y8" s="272"/>
      <c r="Z8" s="272"/>
      <c r="AA8" s="272"/>
    </row>
    <row r="9" spans="1:27" s="268" customFormat="1" ht="15" customHeight="1">
      <c r="A9" s="274">
        <f t="shared" ref="A9:A16" si="1">B8</f>
        <v>0.58333333333333337</v>
      </c>
      <c r="B9" s="273">
        <f t="shared" si="0"/>
        <v>0.60416666666666674</v>
      </c>
      <c r="C9" s="271"/>
      <c r="D9" s="271"/>
      <c r="E9" s="271"/>
      <c r="F9" s="271"/>
      <c r="G9" s="271"/>
      <c r="H9" s="275" t="s">
        <v>1296</v>
      </c>
      <c r="I9" s="377" t="s">
        <v>1297</v>
      </c>
      <c r="J9" s="459"/>
      <c r="K9" s="276"/>
      <c r="L9" s="276"/>
      <c r="M9" s="381" t="s">
        <v>1298</v>
      </c>
      <c r="N9" s="464"/>
      <c r="O9" s="464"/>
      <c r="P9" s="465"/>
      <c r="Q9" s="271"/>
      <c r="R9" s="271"/>
      <c r="S9" s="271"/>
      <c r="T9" s="271"/>
      <c r="U9" s="271"/>
      <c r="V9" s="272" t="s">
        <v>1299</v>
      </c>
      <c r="W9" s="277" t="s">
        <v>448</v>
      </c>
      <c r="X9" s="278" t="s">
        <v>1300</v>
      </c>
      <c r="Y9" s="272"/>
      <c r="Z9" s="272"/>
      <c r="AA9" s="272"/>
    </row>
    <row r="10" spans="1:27" s="268" customFormat="1" ht="15" customHeight="1">
      <c r="A10" s="279">
        <f t="shared" si="1"/>
        <v>0.60416666666666674</v>
      </c>
      <c r="B10" s="270">
        <f t="shared" si="0"/>
        <v>0.62500000000000011</v>
      </c>
      <c r="C10" s="271"/>
      <c r="D10" s="271"/>
      <c r="E10" s="271"/>
      <c r="F10" s="271"/>
      <c r="G10" s="271"/>
      <c r="H10" s="271"/>
      <c r="I10" s="460"/>
      <c r="J10" s="461"/>
      <c r="K10" s="276"/>
      <c r="L10" s="276"/>
      <c r="M10" s="466"/>
      <c r="N10" s="467"/>
      <c r="O10" s="467"/>
      <c r="P10" s="468"/>
      <c r="Q10" s="271"/>
      <c r="R10" s="271"/>
      <c r="S10" s="271"/>
      <c r="T10" s="271"/>
      <c r="U10" s="271"/>
      <c r="V10" s="272" t="s">
        <v>1301</v>
      </c>
      <c r="W10" s="272"/>
      <c r="X10" s="272"/>
      <c r="Y10" s="272"/>
      <c r="Z10" s="272"/>
      <c r="AA10" s="272"/>
    </row>
    <row r="11" spans="1:27" s="268" customFormat="1">
      <c r="A11" s="274">
        <f t="shared" si="1"/>
        <v>0.62500000000000011</v>
      </c>
      <c r="B11" s="270">
        <f t="shared" si="0"/>
        <v>0.64583333333333348</v>
      </c>
      <c r="C11" s="271"/>
      <c r="D11" s="271"/>
      <c r="E11" s="271"/>
      <c r="F11" s="271"/>
      <c r="G11" s="271"/>
      <c r="H11" s="271"/>
      <c r="I11" s="460"/>
      <c r="J11" s="461"/>
      <c r="K11" s="276"/>
      <c r="L11" s="276"/>
      <c r="M11" s="466"/>
      <c r="N11" s="467"/>
      <c r="O11" s="467"/>
      <c r="P11" s="468"/>
      <c r="Q11" s="271"/>
      <c r="R11" s="271"/>
      <c r="S11" s="472" t="s">
        <v>1302</v>
      </c>
      <c r="T11" s="474" t="s">
        <v>1303</v>
      </c>
      <c r="U11" s="474" t="s">
        <v>1304</v>
      </c>
      <c r="V11" s="272" t="s">
        <v>1305</v>
      </c>
      <c r="W11" s="272"/>
      <c r="X11" s="272"/>
      <c r="Y11" s="272" t="s">
        <v>1306</v>
      </c>
      <c r="Z11" s="272" t="s">
        <v>1307</v>
      </c>
      <c r="AA11" s="280" t="s">
        <v>855</v>
      </c>
    </row>
    <row r="12" spans="1:27" ht="15" customHeight="1">
      <c r="A12" s="279">
        <f t="shared" si="1"/>
        <v>0.64583333333333348</v>
      </c>
      <c r="B12" s="270">
        <f t="shared" si="0"/>
        <v>0.66666666666666685</v>
      </c>
      <c r="C12" s="281"/>
      <c r="D12" s="281"/>
      <c r="E12" s="281"/>
      <c r="F12" s="281"/>
      <c r="G12" s="281"/>
      <c r="H12" s="282"/>
      <c r="I12" s="460"/>
      <c r="J12" s="461"/>
      <c r="K12" s="276"/>
      <c r="L12" s="276"/>
      <c r="M12" s="466"/>
      <c r="N12" s="467"/>
      <c r="O12" s="467"/>
      <c r="P12" s="468"/>
      <c r="Q12" s="282"/>
      <c r="R12" s="276"/>
      <c r="S12" s="473"/>
      <c r="T12" s="475"/>
      <c r="U12" s="475"/>
      <c r="V12" s="272" t="s">
        <v>1308</v>
      </c>
      <c r="W12" s="272"/>
      <c r="X12" s="272"/>
      <c r="Y12" s="272"/>
      <c r="Z12" s="272"/>
      <c r="AA12" s="272"/>
    </row>
    <row r="13" spans="1:27">
      <c r="A13" s="279">
        <f t="shared" si="1"/>
        <v>0.66666666666666685</v>
      </c>
      <c r="B13" s="270">
        <f t="shared" si="0"/>
        <v>0.68750000000000022</v>
      </c>
      <c r="C13" s="281"/>
      <c r="D13" s="281"/>
      <c r="E13" s="281"/>
      <c r="F13" s="281"/>
      <c r="G13" s="281"/>
      <c r="H13" s="276"/>
      <c r="I13" s="460"/>
      <c r="J13" s="461"/>
      <c r="K13" s="276"/>
      <c r="L13" s="276"/>
      <c r="M13" s="466"/>
      <c r="N13" s="467"/>
      <c r="O13" s="467"/>
      <c r="P13" s="468"/>
      <c r="Q13" s="282"/>
      <c r="R13" s="276"/>
      <c r="S13" s="472" t="s">
        <v>1309</v>
      </c>
      <c r="T13" s="474" t="s">
        <v>1310</v>
      </c>
      <c r="U13" s="474" t="s">
        <v>1311</v>
      </c>
      <c r="V13" s="272" t="s">
        <v>1312</v>
      </c>
      <c r="W13" s="272"/>
      <c r="X13" s="272"/>
      <c r="Y13" s="272"/>
      <c r="Z13" s="272"/>
      <c r="AA13" s="272"/>
    </row>
    <row r="14" spans="1:27" ht="15" customHeight="1">
      <c r="A14" s="279">
        <f t="shared" si="1"/>
        <v>0.68750000000000022</v>
      </c>
      <c r="B14" s="273">
        <f t="shared" si="0"/>
        <v>0.70833333333333359</v>
      </c>
      <c r="C14" s="281"/>
      <c r="D14" s="281"/>
      <c r="E14" s="281"/>
      <c r="F14" s="281"/>
      <c r="G14" s="281"/>
      <c r="H14" s="282"/>
      <c r="I14" s="460"/>
      <c r="J14" s="461"/>
      <c r="K14" s="276"/>
      <c r="L14" s="276"/>
      <c r="M14" s="466"/>
      <c r="N14" s="467"/>
      <c r="O14" s="467"/>
      <c r="P14" s="468"/>
      <c r="Q14" s="282"/>
      <c r="R14" s="276"/>
      <c r="S14" s="473"/>
      <c r="T14" s="475"/>
      <c r="U14" s="475"/>
      <c r="V14" s="272" t="s">
        <v>1313</v>
      </c>
      <c r="W14" s="272"/>
      <c r="X14" s="272"/>
      <c r="Y14" s="272"/>
      <c r="Z14" s="272"/>
      <c r="AA14" s="272"/>
    </row>
    <row r="15" spans="1:27">
      <c r="A15" s="279">
        <f t="shared" si="1"/>
        <v>0.70833333333333359</v>
      </c>
      <c r="B15" s="270">
        <f t="shared" si="0"/>
        <v>0.72916666666666696</v>
      </c>
      <c r="C15" s="281"/>
      <c r="D15" s="281"/>
      <c r="E15" s="281"/>
      <c r="F15" s="281"/>
      <c r="G15" s="281"/>
      <c r="H15" s="282"/>
      <c r="I15" s="460"/>
      <c r="J15" s="461"/>
      <c r="K15" s="276"/>
      <c r="L15" s="276"/>
      <c r="M15" s="466"/>
      <c r="N15" s="467"/>
      <c r="O15" s="467"/>
      <c r="P15" s="468"/>
      <c r="Q15" s="282"/>
      <c r="R15" s="276"/>
      <c r="S15" s="276"/>
      <c r="T15" s="276"/>
      <c r="U15" s="276"/>
      <c r="V15" s="272" t="s">
        <v>762</v>
      </c>
      <c r="W15" s="272"/>
      <c r="X15" s="272"/>
      <c r="Y15" s="272"/>
      <c r="Z15" s="272"/>
      <c r="AA15" s="272"/>
    </row>
    <row r="16" spans="1:27">
      <c r="A16" s="279">
        <f t="shared" si="1"/>
        <v>0.72916666666666696</v>
      </c>
      <c r="B16" s="283">
        <f t="shared" si="0"/>
        <v>0.75000000000000033</v>
      </c>
      <c r="C16" s="281"/>
      <c r="D16" s="281"/>
      <c r="E16" s="281"/>
      <c r="F16" s="281"/>
      <c r="G16" s="281"/>
      <c r="H16" s="276"/>
      <c r="I16" s="462"/>
      <c r="J16" s="463"/>
      <c r="K16" s="276"/>
      <c r="L16" s="276"/>
      <c r="M16" s="469"/>
      <c r="N16" s="470"/>
      <c r="O16" s="470"/>
      <c r="P16" s="471"/>
      <c r="Q16" s="282"/>
      <c r="R16" s="282"/>
      <c r="S16" s="271"/>
      <c r="T16" s="271"/>
      <c r="U16" s="271"/>
      <c r="V16" s="272"/>
      <c r="W16" s="272"/>
      <c r="X16" s="272"/>
      <c r="Y16" s="272"/>
      <c r="Z16" s="272"/>
      <c r="AA16" s="272"/>
    </row>
    <row r="17" spans="1:27">
      <c r="A17" s="374" t="s">
        <v>1070</v>
      </c>
      <c r="B17" s="375"/>
      <c r="C17" s="284" t="s">
        <v>1071</v>
      </c>
      <c r="D17" s="284"/>
      <c r="E17" s="284"/>
      <c r="F17" s="284"/>
      <c r="G17" s="284"/>
      <c r="H17" s="284" t="s">
        <v>1071</v>
      </c>
      <c r="I17" s="284" t="s">
        <v>1071</v>
      </c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</row>
    <row r="18" spans="1:27">
      <c r="A18" s="428" t="s">
        <v>991</v>
      </c>
      <c r="B18" s="429"/>
      <c r="C18" s="266" t="s">
        <v>1072</v>
      </c>
      <c r="D18" s="266"/>
      <c r="E18" s="266"/>
      <c r="F18" s="266"/>
      <c r="G18" s="266"/>
      <c r="H18" s="266" t="s">
        <v>1072</v>
      </c>
      <c r="I18" s="266" t="s">
        <v>1072</v>
      </c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</row>
    <row r="19" spans="1:27">
      <c r="A19" s="374" t="s">
        <v>993</v>
      </c>
      <c r="B19" s="375"/>
      <c r="C19" s="285" t="s">
        <v>1073</v>
      </c>
      <c r="D19" s="285"/>
      <c r="E19" s="285" t="s">
        <v>1073</v>
      </c>
      <c r="F19" s="285"/>
      <c r="G19" s="285"/>
      <c r="H19" s="286" t="s">
        <v>1073</v>
      </c>
      <c r="I19" s="286" t="s">
        <v>1073</v>
      </c>
      <c r="J19" s="286" t="s">
        <v>1073</v>
      </c>
      <c r="K19" s="286" t="s">
        <v>1073</v>
      </c>
      <c r="L19" s="286" t="s">
        <v>1073</v>
      </c>
      <c r="M19" s="286" t="s">
        <v>1073</v>
      </c>
      <c r="N19" s="286" t="s">
        <v>1073</v>
      </c>
      <c r="O19" s="286" t="s">
        <v>1073</v>
      </c>
      <c r="P19" s="286" t="s">
        <v>1073</v>
      </c>
      <c r="Q19" s="286" t="s">
        <v>1073</v>
      </c>
      <c r="R19" s="286" t="s">
        <v>1073</v>
      </c>
      <c r="S19" s="286" t="s">
        <v>1073</v>
      </c>
      <c r="T19" s="286" t="s">
        <v>1073</v>
      </c>
      <c r="U19" s="286" t="s">
        <v>1073</v>
      </c>
      <c r="V19" s="434" t="s">
        <v>1314</v>
      </c>
      <c r="W19" s="434"/>
      <c r="X19" s="434"/>
      <c r="Y19" s="434"/>
      <c r="Z19" s="434"/>
      <c r="AA19" s="434"/>
    </row>
    <row r="20" spans="1:27" s="268" customFormat="1">
      <c r="A20" s="374" t="s">
        <v>995</v>
      </c>
      <c r="B20" s="375"/>
      <c r="C20" s="267" t="s">
        <v>996</v>
      </c>
      <c r="D20" s="267"/>
      <c r="E20" s="267"/>
      <c r="F20" s="267"/>
      <c r="G20" s="267"/>
      <c r="H20" s="267" t="s">
        <v>996</v>
      </c>
      <c r="I20" s="267" t="s">
        <v>996</v>
      </c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</row>
    <row r="21" spans="1:27" ht="16.5" customHeight="1">
      <c r="A21" s="274">
        <v>0.5625</v>
      </c>
      <c r="B21" s="274">
        <f t="shared" ref="B21:B36" si="2">A21+ TIME(0, 30, 0)</f>
        <v>0.58333333333333337</v>
      </c>
      <c r="C21" s="287"/>
      <c r="D21" s="287"/>
      <c r="E21" s="287"/>
      <c r="F21" s="288" t="s">
        <v>1315</v>
      </c>
      <c r="G21" s="287"/>
      <c r="H21" s="435" t="s">
        <v>1316</v>
      </c>
      <c r="I21" s="436"/>
      <c r="J21" s="436"/>
      <c r="K21" s="436"/>
      <c r="L21" s="436"/>
      <c r="M21" s="436"/>
      <c r="N21" s="436"/>
      <c r="O21" s="436"/>
      <c r="P21" s="437"/>
      <c r="Q21" s="281"/>
      <c r="R21" s="281"/>
      <c r="S21" s="287"/>
      <c r="T21" s="287"/>
      <c r="U21" s="287"/>
      <c r="V21" s="444" t="s">
        <v>1317</v>
      </c>
      <c r="W21" s="445"/>
      <c r="X21" s="446"/>
      <c r="Y21" s="272"/>
      <c r="Z21" s="272"/>
      <c r="AA21" s="272"/>
    </row>
    <row r="22" spans="1:27" ht="15" customHeight="1">
      <c r="A22" s="274">
        <f t="shared" ref="A22:A36" si="3">B21</f>
        <v>0.58333333333333337</v>
      </c>
      <c r="B22" s="279">
        <f t="shared" si="2"/>
        <v>0.60416666666666674</v>
      </c>
      <c r="C22" s="430" t="s">
        <v>1075</v>
      </c>
      <c r="D22" s="430" t="s">
        <v>1076</v>
      </c>
      <c r="E22" s="430" t="s">
        <v>1077</v>
      </c>
      <c r="F22" s="430" t="s">
        <v>1078</v>
      </c>
      <c r="G22" s="430" t="s">
        <v>1079</v>
      </c>
      <c r="H22" s="438"/>
      <c r="I22" s="439"/>
      <c r="J22" s="439"/>
      <c r="K22" s="439"/>
      <c r="L22" s="439"/>
      <c r="M22" s="439"/>
      <c r="N22" s="439"/>
      <c r="O22" s="439"/>
      <c r="P22" s="440"/>
      <c r="Q22" s="281"/>
      <c r="R22" s="281"/>
      <c r="S22" s="287"/>
      <c r="T22" s="287"/>
      <c r="U22" s="287"/>
      <c r="V22" s="447"/>
      <c r="W22" s="448"/>
      <c r="X22" s="449"/>
      <c r="Y22" s="272"/>
      <c r="Z22" s="272"/>
      <c r="AA22" s="272"/>
    </row>
    <row r="23" spans="1:27">
      <c r="A23" s="279">
        <f t="shared" si="3"/>
        <v>0.60416666666666674</v>
      </c>
      <c r="B23" s="279">
        <f t="shared" si="2"/>
        <v>0.62500000000000011</v>
      </c>
      <c r="C23" s="431"/>
      <c r="D23" s="431"/>
      <c r="E23" s="431"/>
      <c r="F23" s="431"/>
      <c r="G23" s="431"/>
      <c r="H23" s="438"/>
      <c r="I23" s="439"/>
      <c r="J23" s="439"/>
      <c r="K23" s="439"/>
      <c r="L23" s="439"/>
      <c r="M23" s="439"/>
      <c r="N23" s="439"/>
      <c r="O23" s="439"/>
      <c r="P23" s="440"/>
      <c r="Q23" s="281"/>
      <c r="R23" s="281"/>
      <c r="S23" s="287"/>
      <c r="T23" s="287"/>
      <c r="U23" s="287"/>
      <c r="V23" s="447"/>
      <c r="W23" s="448"/>
      <c r="X23" s="449"/>
      <c r="Y23" s="272"/>
      <c r="Z23" s="272"/>
      <c r="AA23" s="272"/>
    </row>
    <row r="24" spans="1:27">
      <c r="A24" s="274">
        <f t="shared" si="3"/>
        <v>0.62500000000000011</v>
      </c>
      <c r="B24" s="279">
        <f t="shared" si="2"/>
        <v>0.64583333333333348</v>
      </c>
      <c r="C24" s="431"/>
      <c r="D24" s="431"/>
      <c r="E24" s="431"/>
      <c r="F24" s="431"/>
      <c r="G24" s="432"/>
      <c r="H24" s="438"/>
      <c r="I24" s="439"/>
      <c r="J24" s="439"/>
      <c r="K24" s="439"/>
      <c r="L24" s="439"/>
      <c r="M24" s="439"/>
      <c r="N24" s="439"/>
      <c r="O24" s="439"/>
      <c r="P24" s="440"/>
      <c r="Q24" s="281"/>
      <c r="R24" s="281"/>
      <c r="S24" s="398" t="s">
        <v>1318</v>
      </c>
      <c r="T24" s="287"/>
      <c r="U24" s="398" t="s">
        <v>1319</v>
      </c>
      <c r="V24" s="447"/>
      <c r="W24" s="448"/>
      <c r="X24" s="449"/>
      <c r="Y24" s="289" t="s">
        <v>1306</v>
      </c>
      <c r="Z24" s="272" t="s">
        <v>1307</v>
      </c>
      <c r="AA24" s="272"/>
    </row>
    <row r="25" spans="1:27" ht="15" customHeight="1">
      <c r="A25" s="279">
        <f t="shared" si="3"/>
        <v>0.64583333333333348</v>
      </c>
      <c r="B25" s="279">
        <f t="shared" si="2"/>
        <v>0.66666666666666685</v>
      </c>
      <c r="C25" s="431"/>
      <c r="D25" s="431"/>
      <c r="E25" s="431"/>
      <c r="F25" s="431"/>
      <c r="G25" s="430" t="s">
        <v>1082</v>
      </c>
      <c r="H25" s="438"/>
      <c r="I25" s="439"/>
      <c r="J25" s="439"/>
      <c r="K25" s="439"/>
      <c r="L25" s="439"/>
      <c r="M25" s="439"/>
      <c r="N25" s="439"/>
      <c r="O25" s="439"/>
      <c r="P25" s="440"/>
      <c r="Q25" s="281"/>
      <c r="R25" s="281"/>
      <c r="S25" s="401"/>
      <c r="T25" s="287"/>
      <c r="U25" s="401"/>
      <c r="V25" s="447"/>
      <c r="W25" s="448"/>
      <c r="X25" s="449"/>
      <c r="Y25" s="272" t="s">
        <v>1300</v>
      </c>
      <c r="Z25" s="272"/>
      <c r="AA25" s="272"/>
    </row>
    <row r="26" spans="1:27" ht="15" customHeight="1">
      <c r="A26" s="279">
        <f t="shared" si="3"/>
        <v>0.66666666666666685</v>
      </c>
      <c r="B26" s="279">
        <f t="shared" si="2"/>
        <v>0.68750000000000022</v>
      </c>
      <c r="C26" s="431"/>
      <c r="D26" s="431"/>
      <c r="E26" s="431"/>
      <c r="F26" s="431"/>
      <c r="G26" s="431"/>
      <c r="H26" s="438"/>
      <c r="I26" s="439"/>
      <c r="J26" s="439"/>
      <c r="K26" s="439"/>
      <c r="L26" s="439"/>
      <c r="M26" s="439"/>
      <c r="N26" s="439"/>
      <c r="O26" s="439"/>
      <c r="P26" s="440"/>
      <c r="Q26" s="281"/>
      <c r="R26" s="281"/>
      <c r="S26" s="396" t="s">
        <v>1320</v>
      </c>
      <c r="T26" s="287"/>
      <c r="U26" s="396" t="s">
        <v>1321</v>
      </c>
      <c r="V26" s="447"/>
      <c r="W26" s="448"/>
      <c r="X26" s="449"/>
      <c r="Y26" s="272"/>
      <c r="Z26" s="272"/>
      <c r="AA26" s="272"/>
    </row>
    <row r="27" spans="1:27">
      <c r="A27" s="279">
        <f t="shared" si="3"/>
        <v>0.68750000000000022</v>
      </c>
      <c r="B27" s="274">
        <f t="shared" si="2"/>
        <v>0.70833333333333359</v>
      </c>
      <c r="C27" s="432"/>
      <c r="D27" s="432"/>
      <c r="E27" s="432"/>
      <c r="F27" s="432"/>
      <c r="G27" s="431"/>
      <c r="H27" s="438"/>
      <c r="I27" s="439"/>
      <c r="J27" s="439"/>
      <c r="K27" s="439"/>
      <c r="L27" s="439"/>
      <c r="M27" s="439"/>
      <c r="N27" s="439"/>
      <c r="O27" s="439"/>
      <c r="P27" s="440"/>
      <c r="Q27" s="281"/>
      <c r="R27" s="281"/>
      <c r="S27" s="433"/>
      <c r="T27" s="287"/>
      <c r="U27" s="433"/>
      <c r="V27" s="447"/>
      <c r="W27" s="448"/>
      <c r="X27" s="449"/>
      <c r="Y27" s="272"/>
      <c r="Z27" s="272"/>
      <c r="AA27" s="272"/>
    </row>
    <row r="28" spans="1:27">
      <c r="A28" s="279">
        <f t="shared" si="3"/>
        <v>0.70833333333333359</v>
      </c>
      <c r="B28" s="279">
        <f t="shared" si="2"/>
        <v>0.72916666666666696</v>
      </c>
      <c r="C28" s="287"/>
      <c r="D28" s="287"/>
      <c r="E28" s="287"/>
      <c r="F28" s="287"/>
      <c r="G28" s="287"/>
      <c r="H28" s="438"/>
      <c r="I28" s="439"/>
      <c r="J28" s="439"/>
      <c r="K28" s="439"/>
      <c r="L28" s="439"/>
      <c r="M28" s="439"/>
      <c r="N28" s="439"/>
      <c r="O28" s="439"/>
      <c r="P28" s="440"/>
      <c r="Q28" s="281"/>
      <c r="R28" s="281"/>
      <c r="S28" s="398" t="s">
        <v>1322</v>
      </c>
      <c r="T28" s="287"/>
      <c r="U28" s="398" t="s">
        <v>1323</v>
      </c>
      <c r="V28" s="447"/>
      <c r="W28" s="448"/>
      <c r="X28" s="449"/>
      <c r="Y28" s="272"/>
      <c r="Z28" s="272"/>
      <c r="AA28" s="272"/>
    </row>
    <row r="29" spans="1:27">
      <c r="A29" s="279">
        <f t="shared" si="3"/>
        <v>0.72916666666666696</v>
      </c>
      <c r="B29" s="274">
        <f t="shared" si="2"/>
        <v>0.75000000000000033</v>
      </c>
      <c r="C29" s="287"/>
      <c r="D29" s="287"/>
      <c r="E29" s="287"/>
      <c r="F29" s="287"/>
      <c r="G29" s="287"/>
      <c r="H29" s="441"/>
      <c r="I29" s="442"/>
      <c r="J29" s="442"/>
      <c r="K29" s="442"/>
      <c r="L29" s="442"/>
      <c r="M29" s="442"/>
      <c r="N29" s="442"/>
      <c r="O29" s="442"/>
      <c r="P29" s="443"/>
      <c r="Q29" s="281"/>
      <c r="R29" s="281"/>
      <c r="S29" s="401"/>
      <c r="T29" s="287"/>
      <c r="U29" s="401"/>
      <c r="V29" s="450"/>
      <c r="W29" s="451"/>
      <c r="X29" s="452"/>
      <c r="Y29" s="272"/>
      <c r="Z29" s="272"/>
      <c r="AA29" s="272"/>
    </row>
    <row r="30" spans="1:27" s="268" customFormat="1">
      <c r="A30" s="374" t="s">
        <v>1087</v>
      </c>
      <c r="B30" s="375"/>
      <c r="C30" s="267" t="s">
        <v>1088</v>
      </c>
      <c r="D30" s="267"/>
      <c r="E30" s="267"/>
      <c r="F30" s="267"/>
      <c r="G30" s="267"/>
      <c r="H30" s="267" t="s">
        <v>1088</v>
      </c>
      <c r="I30" s="267" t="s">
        <v>1088</v>
      </c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72"/>
      <c r="W30" s="272"/>
      <c r="X30" s="272"/>
      <c r="Y30" s="272"/>
      <c r="Z30" s="272"/>
      <c r="AA30" s="272"/>
    </row>
    <row r="31" spans="1:27">
      <c r="A31" s="274">
        <f>B29</f>
        <v>0.75000000000000033</v>
      </c>
      <c r="B31" s="279">
        <f t="shared" si="2"/>
        <v>0.7708333333333337</v>
      </c>
      <c r="C31" s="414" t="s">
        <v>1089</v>
      </c>
      <c r="D31" s="415"/>
      <c r="E31" s="415"/>
      <c r="F31" s="415"/>
      <c r="G31" s="416"/>
      <c r="H31" s="282"/>
      <c r="I31" s="282"/>
      <c r="J31" s="282"/>
      <c r="K31" s="282"/>
      <c r="L31" s="282"/>
      <c r="M31" s="282"/>
      <c r="N31" s="282"/>
      <c r="O31" s="282"/>
      <c r="P31" s="282"/>
      <c r="Q31" s="390" t="s">
        <v>1324</v>
      </c>
      <c r="R31" s="423"/>
      <c r="S31" s="287"/>
      <c r="T31" s="287"/>
      <c r="U31" s="287"/>
      <c r="V31" s="272"/>
      <c r="W31" s="272"/>
      <c r="X31" s="272"/>
      <c r="Y31" s="272"/>
      <c r="Z31" s="272"/>
      <c r="AA31" s="272" t="s">
        <v>855</v>
      </c>
    </row>
    <row r="32" spans="1:27">
      <c r="A32" s="279">
        <f t="shared" si="3"/>
        <v>0.7708333333333337</v>
      </c>
      <c r="B32" s="279">
        <f t="shared" si="2"/>
        <v>0.79166666666666707</v>
      </c>
      <c r="C32" s="417"/>
      <c r="D32" s="418"/>
      <c r="E32" s="418"/>
      <c r="F32" s="418"/>
      <c r="G32" s="419"/>
      <c r="H32" s="282"/>
      <c r="I32" s="282"/>
      <c r="J32" s="282"/>
      <c r="K32" s="282"/>
      <c r="L32" s="282"/>
      <c r="M32" s="282"/>
      <c r="N32" s="282"/>
      <c r="O32" s="282"/>
      <c r="P32" s="282"/>
      <c r="Q32" s="424"/>
      <c r="R32" s="425"/>
      <c r="S32" s="287"/>
      <c r="T32" s="287"/>
      <c r="U32" s="287"/>
      <c r="V32" s="272"/>
      <c r="W32" s="272"/>
      <c r="X32" s="272"/>
      <c r="Y32" s="272"/>
      <c r="Z32" s="272"/>
      <c r="AA32" s="272" t="s">
        <v>1312</v>
      </c>
    </row>
    <row r="33" spans="1:27">
      <c r="A33" s="279">
        <f t="shared" si="3"/>
        <v>0.79166666666666707</v>
      </c>
      <c r="B33" s="279">
        <f t="shared" si="2"/>
        <v>0.81250000000000044</v>
      </c>
      <c r="C33" s="420"/>
      <c r="D33" s="421"/>
      <c r="E33" s="421"/>
      <c r="F33" s="421"/>
      <c r="G33" s="422"/>
      <c r="H33" s="282"/>
      <c r="I33" s="282"/>
      <c r="J33" s="282"/>
      <c r="K33" s="282"/>
      <c r="L33" s="282"/>
      <c r="M33" s="282"/>
      <c r="N33" s="282"/>
      <c r="O33" s="282"/>
      <c r="P33" s="282"/>
      <c r="Q33" s="424"/>
      <c r="R33" s="425"/>
      <c r="S33" s="287"/>
      <c r="T33" s="287"/>
      <c r="U33" s="287"/>
      <c r="V33" s="272"/>
      <c r="W33" s="272"/>
      <c r="X33" s="272"/>
      <c r="Y33" s="272"/>
      <c r="Z33" s="272"/>
      <c r="AA33" s="272"/>
    </row>
    <row r="34" spans="1:27">
      <c r="A34" s="279">
        <f t="shared" si="3"/>
        <v>0.81250000000000044</v>
      </c>
      <c r="B34" s="279">
        <f t="shared" si="2"/>
        <v>0.83333333333333381</v>
      </c>
      <c r="C34" s="287"/>
      <c r="D34" s="287"/>
      <c r="E34" s="287"/>
      <c r="F34" s="287"/>
      <c r="G34" s="287"/>
      <c r="H34" s="290"/>
      <c r="I34" s="282"/>
      <c r="J34" s="282"/>
      <c r="K34" s="282"/>
      <c r="L34" s="282"/>
      <c r="M34" s="282"/>
      <c r="N34" s="282"/>
      <c r="O34" s="282"/>
      <c r="P34" s="282"/>
      <c r="Q34" s="424"/>
      <c r="R34" s="425"/>
      <c r="S34" s="287"/>
      <c r="T34" s="287"/>
      <c r="U34" s="287"/>
      <c r="V34" s="272"/>
      <c r="W34" s="272"/>
      <c r="X34" s="272"/>
      <c r="Y34" s="272"/>
      <c r="Z34" s="272"/>
      <c r="AA34" s="272"/>
    </row>
    <row r="35" spans="1:27">
      <c r="A35" s="279">
        <f t="shared" si="3"/>
        <v>0.83333333333333381</v>
      </c>
      <c r="B35" s="279">
        <f t="shared" si="2"/>
        <v>0.85416666666666718</v>
      </c>
      <c r="C35" s="287"/>
      <c r="D35" s="287"/>
      <c r="E35" s="287"/>
      <c r="F35" s="287"/>
      <c r="G35" s="287"/>
      <c r="H35" s="276"/>
      <c r="I35" s="282"/>
      <c r="J35" s="282"/>
      <c r="K35" s="282"/>
      <c r="L35" s="282"/>
      <c r="M35" s="282"/>
      <c r="N35" s="282"/>
      <c r="O35" s="282"/>
      <c r="P35" s="282"/>
      <c r="Q35" s="424"/>
      <c r="R35" s="425"/>
      <c r="S35" s="287"/>
      <c r="T35" s="287"/>
      <c r="U35" s="287"/>
      <c r="V35" s="272"/>
      <c r="W35" s="272"/>
      <c r="X35" s="272"/>
      <c r="Y35" s="272"/>
      <c r="Z35" s="272"/>
      <c r="AA35" s="272"/>
    </row>
    <row r="36" spans="1:27">
      <c r="A36" s="279">
        <f t="shared" si="3"/>
        <v>0.85416666666666718</v>
      </c>
      <c r="B36" s="274">
        <f t="shared" si="2"/>
        <v>0.87500000000000056</v>
      </c>
      <c r="C36" s="287"/>
      <c r="D36" s="287"/>
      <c r="E36" s="287"/>
      <c r="F36" s="287"/>
      <c r="G36" s="287"/>
      <c r="H36" s="282"/>
      <c r="I36" s="287"/>
      <c r="J36" s="287"/>
      <c r="K36" s="287"/>
      <c r="L36" s="287"/>
      <c r="M36" s="282"/>
      <c r="N36" s="282"/>
      <c r="O36" s="282"/>
      <c r="P36" s="282"/>
      <c r="Q36" s="426"/>
      <c r="R36" s="427"/>
      <c r="S36" s="287"/>
      <c r="T36" s="287"/>
      <c r="U36" s="287"/>
      <c r="V36" s="272"/>
      <c r="W36" s="272"/>
      <c r="X36" s="272"/>
      <c r="Y36" s="272"/>
      <c r="Z36" s="272"/>
      <c r="AA36" s="272"/>
    </row>
    <row r="37" spans="1:27">
      <c r="A37" s="428" t="s">
        <v>991</v>
      </c>
      <c r="B37" s="429"/>
      <c r="C37" s="266" t="s">
        <v>1102</v>
      </c>
      <c r="D37" s="266"/>
      <c r="E37" s="266"/>
      <c r="F37" s="266"/>
      <c r="G37" s="266"/>
      <c r="H37" s="266" t="s">
        <v>1102</v>
      </c>
      <c r="I37" s="266" t="s">
        <v>1102</v>
      </c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72"/>
      <c r="W37" s="272"/>
      <c r="X37" s="272"/>
      <c r="Y37" s="272"/>
      <c r="Z37" s="272"/>
      <c r="AA37" s="272"/>
    </row>
    <row r="38" spans="1:27">
      <c r="A38" s="274">
        <v>0.29166666666666669</v>
      </c>
      <c r="B38" s="279">
        <v>0.3125</v>
      </c>
      <c r="C38" s="287"/>
      <c r="D38" s="287"/>
      <c r="E38" s="287"/>
      <c r="F38" s="287"/>
      <c r="G38" s="287"/>
      <c r="I38" s="377" t="s">
        <v>1325</v>
      </c>
      <c r="J38" s="378"/>
      <c r="K38" s="287"/>
      <c r="L38" s="287"/>
      <c r="M38" s="381" t="s">
        <v>1326</v>
      </c>
      <c r="N38" s="382"/>
      <c r="O38" s="382"/>
      <c r="P38" s="383"/>
      <c r="Q38" s="390" t="s">
        <v>1327</v>
      </c>
      <c r="R38" s="391"/>
      <c r="S38" s="396" t="s">
        <v>1328</v>
      </c>
      <c r="T38" s="287"/>
      <c r="U38" s="398" t="s">
        <v>1329</v>
      </c>
      <c r="V38" s="272"/>
      <c r="W38" s="277" t="s">
        <v>448</v>
      </c>
      <c r="X38" s="278" t="s">
        <v>1300</v>
      </c>
      <c r="Y38" s="272" t="s">
        <v>1306</v>
      </c>
      <c r="Z38" s="272" t="s">
        <v>1307</v>
      </c>
      <c r="AA38" s="272" t="s">
        <v>855</v>
      </c>
    </row>
    <row r="39" spans="1:27">
      <c r="A39" s="279">
        <v>0.3125</v>
      </c>
      <c r="B39" s="279">
        <f t="shared" ref="B39:B47" si="4">A39+ TIME(0, 30, 0)</f>
        <v>0.33333333333333331</v>
      </c>
      <c r="C39" s="287"/>
      <c r="D39" s="287"/>
      <c r="E39" s="287"/>
      <c r="F39" s="287"/>
      <c r="G39" s="287"/>
      <c r="H39" s="282"/>
      <c r="I39" s="379"/>
      <c r="J39" s="380"/>
      <c r="K39" s="287"/>
      <c r="L39" s="287"/>
      <c r="M39" s="384"/>
      <c r="N39" s="385"/>
      <c r="O39" s="385"/>
      <c r="P39" s="386"/>
      <c r="Q39" s="392"/>
      <c r="R39" s="393"/>
      <c r="S39" s="397"/>
      <c r="T39" s="287"/>
      <c r="U39" s="399"/>
      <c r="V39" s="272"/>
      <c r="W39" s="272"/>
      <c r="X39" s="272"/>
      <c r="Y39" s="272"/>
      <c r="Z39" s="272"/>
      <c r="AA39" s="272"/>
    </row>
    <row r="40" spans="1:27">
      <c r="A40" s="279">
        <f t="shared" ref="A40:A46" si="5">B39</f>
        <v>0.33333333333333331</v>
      </c>
      <c r="B40" s="279">
        <f t="shared" si="4"/>
        <v>0.35416666666666663</v>
      </c>
      <c r="C40" s="287"/>
      <c r="D40" s="287"/>
      <c r="E40" s="287"/>
      <c r="F40" s="287"/>
      <c r="G40" s="287"/>
      <c r="H40" s="282"/>
      <c r="I40" s="379"/>
      <c r="J40" s="380"/>
      <c r="K40" s="287"/>
      <c r="L40" s="287"/>
      <c r="M40" s="387"/>
      <c r="N40" s="388"/>
      <c r="O40" s="388"/>
      <c r="P40" s="389"/>
      <c r="Q40" s="392"/>
      <c r="R40" s="393"/>
      <c r="S40" s="396" t="s">
        <v>1330</v>
      </c>
      <c r="T40" s="287"/>
      <c r="U40" s="398" t="s">
        <v>1331</v>
      </c>
      <c r="V40" s="272"/>
      <c r="W40" s="272"/>
      <c r="X40" s="272"/>
      <c r="Y40" s="272"/>
      <c r="Z40" s="272"/>
      <c r="AA40" s="272"/>
    </row>
    <row r="41" spans="1:27">
      <c r="A41" s="279">
        <f t="shared" si="5"/>
        <v>0.35416666666666663</v>
      </c>
      <c r="B41" s="279">
        <f t="shared" si="4"/>
        <v>0.37499999999999994</v>
      </c>
      <c r="C41" s="287"/>
      <c r="D41" s="287"/>
      <c r="E41" s="287"/>
      <c r="F41" s="287"/>
      <c r="G41" s="287"/>
      <c r="H41" s="282"/>
      <c r="I41" s="379"/>
      <c r="J41" s="380"/>
      <c r="K41" s="287"/>
      <c r="L41" s="287"/>
      <c r="M41" s="287"/>
      <c r="N41" s="287"/>
      <c r="O41" s="287"/>
      <c r="P41" s="287"/>
      <c r="Q41" s="392"/>
      <c r="R41" s="393"/>
      <c r="S41" s="400"/>
      <c r="T41" s="287"/>
      <c r="U41" s="401"/>
      <c r="V41" s="272"/>
      <c r="W41" s="272"/>
      <c r="X41" s="272"/>
      <c r="Y41" s="272"/>
      <c r="Z41" s="272"/>
      <c r="AA41" s="272"/>
    </row>
    <row r="42" spans="1:27">
      <c r="A42" s="279">
        <f t="shared" si="5"/>
        <v>0.37499999999999994</v>
      </c>
      <c r="B42" s="279">
        <f t="shared" si="4"/>
        <v>0.39583333333333326</v>
      </c>
      <c r="C42" s="287"/>
      <c r="D42" s="287"/>
      <c r="E42" s="287"/>
      <c r="F42" s="287"/>
      <c r="G42" s="287"/>
      <c r="H42" s="282"/>
      <c r="I42" s="379"/>
      <c r="J42" s="380"/>
      <c r="K42" s="287"/>
      <c r="L42" s="287"/>
      <c r="M42" s="402" t="s">
        <v>1332</v>
      </c>
      <c r="N42" s="403"/>
      <c r="O42" s="403"/>
      <c r="P42" s="404"/>
      <c r="Q42" s="392"/>
      <c r="R42" s="393"/>
      <c r="S42" s="411" t="s">
        <v>1333</v>
      </c>
      <c r="T42" s="412"/>
      <c r="U42" s="413"/>
      <c r="V42" s="272"/>
      <c r="W42" s="272"/>
      <c r="X42" s="272"/>
      <c r="Y42" s="272"/>
      <c r="Z42" s="272"/>
      <c r="AA42" s="272"/>
    </row>
    <row r="43" spans="1:27">
      <c r="A43" s="279">
        <f t="shared" si="5"/>
        <v>0.39583333333333326</v>
      </c>
      <c r="B43" s="279">
        <f t="shared" si="4"/>
        <v>0.41666666666666657</v>
      </c>
      <c r="C43" s="287"/>
      <c r="D43" s="287"/>
      <c r="E43" s="287"/>
      <c r="F43" s="287"/>
      <c r="G43" s="287"/>
      <c r="H43" s="276"/>
      <c r="I43" s="379"/>
      <c r="J43" s="380"/>
      <c r="K43" s="287"/>
      <c r="L43" s="287"/>
      <c r="M43" s="405"/>
      <c r="N43" s="406"/>
      <c r="O43" s="406"/>
      <c r="P43" s="407"/>
      <c r="Q43" s="392"/>
      <c r="R43" s="393"/>
      <c r="S43" s="287"/>
      <c r="T43" s="287"/>
      <c r="U43" s="287"/>
      <c r="V43" s="272"/>
      <c r="W43" s="272"/>
      <c r="X43" s="272"/>
      <c r="Y43" s="272"/>
      <c r="Z43" s="272"/>
      <c r="AA43" s="272"/>
    </row>
    <row r="44" spans="1:27">
      <c r="A44" s="274">
        <f t="shared" si="5"/>
        <v>0.41666666666666657</v>
      </c>
      <c r="B44" s="274">
        <f t="shared" si="4"/>
        <v>0.43749999999999989</v>
      </c>
      <c r="C44" s="287"/>
      <c r="D44" s="287"/>
      <c r="E44" s="287"/>
      <c r="F44" s="287"/>
      <c r="G44" s="287"/>
      <c r="H44" s="275" t="s">
        <v>1334</v>
      </c>
      <c r="I44" s="379"/>
      <c r="J44" s="380"/>
      <c r="K44" s="287"/>
      <c r="L44" s="287"/>
      <c r="M44" s="408"/>
      <c r="N44" s="409"/>
      <c r="O44" s="409"/>
      <c r="P44" s="410"/>
      <c r="Q44" s="392"/>
      <c r="R44" s="393"/>
      <c r="S44" s="287"/>
      <c r="T44" s="287"/>
      <c r="U44" s="287"/>
      <c r="V44" s="272" t="s">
        <v>1299</v>
      </c>
      <c r="W44" s="272"/>
      <c r="X44" s="272"/>
      <c r="Y44" s="272"/>
      <c r="Z44" s="272"/>
      <c r="AA44" s="272"/>
    </row>
    <row r="45" spans="1:27">
      <c r="A45" s="279">
        <f t="shared" si="5"/>
        <v>0.43749999999999989</v>
      </c>
      <c r="B45" s="274">
        <f t="shared" si="4"/>
        <v>0.4583333333333332</v>
      </c>
      <c r="C45" s="287"/>
      <c r="D45" s="287"/>
      <c r="E45" s="287"/>
      <c r="F45" s="287"/>
      <c r="G45" s="287"/>
      <c r="H45" s="282"/>
      <c r="I45" s="379"/>
      <c r="J45" s="380"/>
      <c r="K45" s="287"/>
      <c r="L45" s="287"/>
      <c r="M45" s="282"/>
      <c r="N45" s="282"/>
      <c r="O45" s="282"/>
      <c r="P45" s="282"/>
      <c r="Q45" s="394"/>
      <c r="R45" s="395"/>
      <c r="S45" s="282"/>
      <c r="T45" s="282"/>
      <c r="U45" s="282"/>
      <c r="V45" s="272" t="s">
        <v>1301</v>
      </c>
      <c r="W45" s="272"/>
      <c r="X45" s="272"/>
      <c r="Y45" s="272"/>
      <c r="Z45" s="272"/>
      <c r="AA45" s="272"/>
    </row>
    <row r="46" spans="1:27">
      <c r="A46" s="274">
        <f t="shared" si="5"/>
        <v>0.4583333333333332</v>
      </c>
      <c r="B46" s="274">
        <f t="shared" si="4"/>
        <v>0.47916666666666652</v>
      </c>
      <c r="C46" s="287"/>
      <c r="D46" s="287"/>
      <c r="E46" s="287"/>
      <c r="F46" s="287"/>
      <c r="G46" s="287"/>
      <c r="H46" s="282"/>
      <c r="I46" s="276"/>
      <c r="J46" s="276"/>
      <c r="K46" s="370" t="s">
        <v>1335</v>
      </c>
      <c r="L46" s="371"/>
      <c r="M46" s="282"/>
      <c r="N46" s="282"/>
      <c r="O46" s="282"/>
      <c r="P46" s="282"/>
      <c r="Q46" s="282"/>
      <c r="R46" s="282"/>
      <c r="S46" s="282"/>
      <c r="T46" s="282"/>
      <c r="U46" s="282"/>
      <c r="V46" s="272" t="s">
        <v>1305</v>
      </c>
      <c r="W46" s="372" t="s">
        <v>1295</v>
      </c>
      <c r="X46" s="373"/>
      <c r="Y46" s="272"/>
      <c r="Z46" s="272"/>
      <c r="AA46" s="272"/>
    </row>
    <row r="47" spans="1:27">
      <c r="A47" s="291">
        <f>B46</f>
        <v>0.47916666666666652</v>
      </c>
      <c r="B47" s="291">
        <f t="shared" si="4"/>
        <v>0.49999999999999983</v>
      </c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2"/>
      <c r="R47" s="292"/>
      <c r="S47" s="291"/>
      <c r="T47" s="293"/>
      <c r="U47" s="292"/>
      <c r="V47" s="272" t="s">
        <v>1308</v>
      </c>
      <c r="W47" s="292"/>
      <c r="X47" s="292"/>
      <c r="Y47" s="292"/>
      <c r="Z47" s="292"/>
      <c r="AA47" s="292"/>
    </row>
    <row r="48" spans="1:27" s="268" customFormat="1">
      <c r="A48" s="374" t="s">
        <v>995</v>
      </c>
      <c r="B48" s="375"/>
      <c r="C48" s="267" t="s">
        <v>996</v>
      </c>
      <c r="D48" s="267"/>
      <c r="E48" s="267"/>
      <c r="F48" s="267"/>
      <c r="G48" s="267"/>
      <c r="H48" s="267" t="s">
        <v>996</v>
      </c>
      <c r="I48" s="267" t="s">
        <v>996</v>
      </c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72" t="s">
        <v>1312</v>
      </c>
      <c r="W48" s="267"/>
      <c r="X48" s="267"/>
      <c r="Y48" s="267"/>
      <c r="Z48" s="267"/>
      <c r="AA48" s="267"/>
    </row>
    <row r="49" spans="1:27" s="268" customFormat="1" ht="24.75" customHeight="1">
      <c r="A49" s="376" t="s">
        <v>1336</v>
      </c>
      <c r="B49" s="375"/>
      <c r="C49" s="267"/>
      <c r="D49" s="267"/>
      <c r="E49" s="267"/>
      <c r="F49" s="267"/>
      <c r="G49" s="267"/>
      <c r="H49" s="294" t="s">
        <v>1154</v>
      </c>
      <c r="I49" s="294" t="s">
        <v>1154</v>
      </c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72" t="s">
        <v>1313</v>
      </c>
      <c r="W49" s="267"/>
      <c r="X49" s="267"/>
      <c r="Y49" s="267"/>
      <c r="Z49" s="267"/>
      <c r="AA49" s="267"/>
    </row>
    <row r="50" spans="1:27">
      <c r="A50" s="295"/>
      <c r="B50" s="295"/>
      <c r="C50" s="296"/>
      <c r="D50" s="296"/>
      <c r="E50" s="296"/>
      <c r="F50" s="296"/>
      <c r="G50" s="296"/>
      <c r="H50" s="297"/>
      <c r="I50" s="296"/>
      <c r="J50" s="296"/>
      <c r="K50" s="296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72" t="s">
        <v>762</v>
      </c>
    </row>
    <row r="51" spans="1:27">
      <c r="A51" s="295"/>
      <c r="B51" s="295"/>
      <c r="C51" s="296"/>
      <c r="D51" s="296"/>
      <c r="E51" s="296"/>
      <c r="F51" s="296"/>
      <c r="G51" s="296"/>
      <c r="H51" s="297"/>
      <c r="I51" s="296"/>
      <c r="J51" s="296"/>
      <c r="K51" s="296"/>
      <c r="L51" s="297"/>
      <c r="M51" s="297"/>
      <c r="N51" s="297"/>
      <c r="O51" s="297"/>
      <c r="P51" s="297"/>
      <c r="Q51" s="297"/>
      <c r="R51" s="297"/>
      <c r="S51" s="297"/>
      <c r="T51" s="297"/>
      <c r="U51" s="297"/>
    </row>
    <row r="52" spans="1:27">
      <c r="A52" s="295"/>
      <c r="B52" s="295"/>
      <c r="C52" s="296"/>
      <c r="D52" s="296"/>
      <c r="E52" s="296"/>
      <c r="F52" s="296"/>
      <c r="G52" s="296"/>
      <c r="H52" s="297"/>
      <c r="I52" s="296"/>
      <c r="J52" s="296"/>
      <c r="K52" s="296"/>
      <c r="L52" s="297"/>
      <c r="M52" s="297"/>
      <c r="N52" s="297"/>
      <c r="O52" s="297"/>
      <c r="P52" s="297"/>
      <c r="Q52" s="297"/>
      <c r="R52" s="297"/>
      <c r="S52" s="297"/>
      <c r="T52" s="297"/>
      <c r="U52" s="297"/>
    </row>
    <row r="53" spans="1:27">
      <c r="A53" s="295"/>
      <c r="B53" s="295"/>
      <c r="C53" s="296"/>
      <c r="D53" s="296"/>
      <c r="E53" s="296"/>
      <c r="F53" s="296"/>
      <c r="G53" s="296"/>
      <c r="H53" s="297"/>
      <c r="I53" s="296"/>
      <c r="J53" s="296"/>
      <c r="K53" s="296"/>
      <c r="L53" s="297"/>
      <c r="M53" s="297"/>
      <c r="N53" s="297"/>
      <c r="O53" s="297"/>
      <c r="P53" s="297"/>
      <c r="Q53" s="297"/>
      <c r="R53" s="297"/>
      <c r="S53" s="297"/>
      <c r="T53" s="297"/>
      <c r="U53" s="297"/>
    </row>
    <row r="54" spans="1:27">
      <c r="A54" s="295"/>
      <c r="B54" s="295"/>
      <c r="C54" s="296"/>
      <c r="D54" s="296"/>
      <c r="E54" s="296"/>
      <c r="F54" s="296"/>
      <c r="G54" s="296"/>
      <c r="H54" s="297"/>
      <c r="I54" s="296"/>
      <c r="J54" s="296"/>
      <c r="K54" s="296"/>
      <c r="L54" s="297"/>
      <c r="M54" s="297"/>
      <c r="N54" s="297"/>
      <c r="O54" s="297"/>
      <c r="P54" s="297"/>
      <c r="Q54" s="297"/>
      <c r="R54" s="297"/>
      <c r="S54" s="297"/>
      <c r="T54" s="297"/>
      <c r="U54" s="297"/>
    </row>
    <row r="55" spans="1:27">
      <c r="A55" s="295"/>
      <c r="B55" s="295"/>
      <c r="C55" s="296"/>
      <c r="D55" s="296"/>
      <c r="E55" s="296"/>
      <c r="F55" s="296"/>
      <c r="G55" s="296"/>
      <c r="H55" s="297"/>
      <c r="I55" s="296"/>
      <c r="J55" s="296"/>
      <c r="K55" s="296"/>
      <c r="L55" s="297"/>
      <c r="M55" s="297"/>
      <c r="N55" s="297"/>
      <c r="O55" s="297"/>
      <c r="P55" s="297"/>
      <c r="Q55" s="297"/>
      <c r="R55" s="297"/>
      <c r="S55" s="297"/>
      <c r="T55" s="297"/>
      <c r="U55" s="297"/>
    </row>
    <row r="56" spans="1:27">
      <c r="A56" s="295"/>
      <c r="B56" s="295"/>
      <c r="C56" s="296"/>
      <c r="D56" s="296"/>
      <c r="E56" s="296"/>
      <c r="F56" s="296"/>
      <c r="G56" s="296"/>
      <c r="H56" s="297"/>
      <c r="I56" s="296"/>
      <c r="J56" s="296"/>
      <c r="K56" s="296"/>
      <c r="L56" s="297"/>
      <c r="M56" s="297"/>
      <c r="N56" s="297"/>
      <c r="O56" s="297"/>
      <c r="P56" s="297"/>
      <c r="Q56" s="297"/>
      <c r="R56" s="297"/>
      <c r="S56" s="297"/>
      <c r="T56" s="297"/>
      <c r="U56" s="297"/>
    </row>
    <row r="57" spans="1:27">
      <c r="A57" s="295"/>
      <c r="B57" s="295"/>
      <c r="C57" s="296"/>
      <c r="D57" s="296"/>
      <c r="E57" s="296"/>
      <c r="F57" s="296"/>
      <c r="G57" s="296"/>
      <c r="H57" s="297"/>
      <c r="I57" s="296"/>
      <c r="J57" s="296"/>
      <c r="K57" s="296"/>
      <c r="L57" s="297"/>
      <c r="M57" s="297"/>
      <c r="N57" s="297"/>
      <c r="O57" s="297"/>
      <c r="P57" s="297"/>
      <c r="Q57" s="297"/>
      <c r="R57" s="297"/>
      <c r="S57" s="297"/>
      <c r="T57" s="297"/>
      <c r="U57" s="297"/>
    </row>
    <row r="58" spans="1:27">
      <c r="A58" s="295"/>
      <c r="B58" s="295"/>
      <c r="C58" s="296"/>
      <c r="D58" s="296"/>
      <c r="E58" s="296"/>
      <c r="F58" s="296"/>
      <c r="G58" s="296"/>
      <c r="H58" s="297"/>
      <c r="I58" s="296"/>
      <c r="J58" s="296"/>
      <c r="K58" s="296"/>
      <c r="L58" s="297"/>
      <c r="M58" s="297"/>
      <c r="N58" s="297"/>
      <c r="O58" s="297"/>
      <c r="P58" s="297"/>
      <c r="Q58" s="297"/>
      <c r="R58" s="297"/>
      <c r="S58" s="297"/>
      <c r="T58" s="297"/>
      <c r="U58" s="297"/>
    </row>
    <row r="59" spans="1:27">
      <c r="A59" s="295"/>
      <c r="B59" s="295"/>
      <c r="C59" s="296"/>
      <c r="D59" s="296"/>
      <c r="E59" s="296"/>
      <c r="F59" s="296"/>
      <c r="G59" s="296"/>
      <c r="H59" s="297"/>
      <c r="I59" s="296"/>
      <c r="J59" s="296"/>
      <c r="K59" s="296"/>
      <c r="L59" s="297"/>
      <c r="M59" s="297"/>
      <c r="N59" s="297"/>
      <c r="O59" s="297"/>
      <c r="P59" s="297"/>
      <c r="Q59" s="297"/>
      <c r="R59" s="297"/>
      <c r="S59" s="297"/>
      <c r="T59" s="297"/>
      <c r="U59" s="297"/>
    </row>
    <row r="60" spans="1:27">
      <c r="A60" s="295"/>
      <c r="B60" s="295"/>
      <c r="C60" s="296"/>
      <c r="D60" s="296"/>
      <c r="E60" s="296"/>
      <c r="F60" s="296"/>
      <c r="G60" s="296"/>
      <c r="H60" s="297"/>
      <c r="I60" s="296"/>
      <c r="J60" s="296"/>
      <c r="K60" s="296"/>
      <c r="L60" s="297"/>
      <c r="M60" s="297"/>
      <c r="N60" s="297"/>
      <c r="O60" s="297"/>
      <c r="P60" s="297"/>
      <c r="Q60" s="297"/>
      <c r="R60" s="297"/>
      <c r="S60" s="297"/>
      <c r="T60" s="297"/>
      <c r="U60" s="297"/>
    </row>
    <row r="61" spans="1:27">
      <c r="A61" s="295"/>
      <c r="B61" s="295"/>
      <c r="C61" s="296"/>
      <c r="D61" s="296"/>
      <c r="E61" s="296"/>
      <c r="F61" s="296"/>
      <c r="G61" s="296"/>
      <c r="H61" s="297"/>
      <c r="I61" s="296"/>
      <c r="J61" s="296"/>
      <c r="K61" s="296"/>
      <c r="L61" s="297"/>
      <c r="M61" s="297"/>
      <c r="N61" s="297"/>
      <c r="O61" s="297"/>
      <c r="P61" s="297"/>
      <c r="Q61" s="297"/>
      <c r="R61" s="297"/>
      <c r="S61" s="297"/>
      <c r="T61" s="297"/>
      <c r="U61" s="297"/>
    </row>
    <row r="62" spans="1:27">
      <c r="A62" s="295"/>
      <c r="B62" s="295"/>
      <c r="C62" s="296"/>
      <c r="D62" s="296"/>
      <c r="E62" s="296"/>
      <c r="F62" s="296"/>
      <c r="G62" s="296"/>
      <c r="H62" s="297"/>
      <c r="I62" s="296"/>
      <c r="J62" s="296"/>
      <c r="K62" s="296"/>
      <c r="L62" s="297"/>
      <c r="M62" s="297"/>
      <c r="N62" s="297"/>
      <c r="O62" s="297"/>
      <c r="P62" s="297"/>
      <c r="Q62" s="297"/>
      <c r="R62" s="297"/>
      <c r="S62" s="297"/>
      <c r="T62" s="297"/>
      <c r="U62" s="297"/>
    </row>
    <row r="63" spans="1:27">
      <c r="A63" s="295"/>
      <c r="B63" s="295"/>
      <c r="C63" s="296"/>
      <c r="D63" s="296"/>
      <c r="E63" s="296"/>
      <c r="F63" s="296"/>
      <c r="G63" s="296"/>
      <c r="H63" s="297"/>
      <c r="I63" s="296"/>
      <c r="J63" s="296"/>
      <c r="K63" s="296"/>
      <c r="L63" s="297"/>
      <c r="M63" s="297"/>
      <c r="N63" s="297"/>
      <c r="O63" s="297"/>
      <c r="P63" s="297"/>
      <c r="Q63" s="297"/>
      <c r="R63" s="297"/>
      <c r="S63" s="297"/>
      <c r="T63" s="297"/>
      <c r="U63" s="297"/>
    </row>
    <row r="64" spans="1:27">
      <c r="A64" s="295"/>
      <c r="B64" s="295"/>
      <c r="C64" s="296"/>
      <c r="D64" s="296"/>
      <c r="E64" s="296"/>
      <c r="F64" s="296"/>
      <c r="G64" s="296"/>
      <c r="H64" s="297"/>
      <c r="I64" s="296"/>
      <c r="J64" s="296"/>
      <c r="K64" s="296"/>
      <c r="L64" s="297"/>
      <c r="M64" s="297"/>
      <c r="N64" s="297"/>
      <c r="O64" s="297"/>
      <c r="P64" s="297"/>
      <c r="Q64" s="297"/>
      <c r="R64" s="297"/>
      <c r="S64" s="297"/>
      <c r="T64" s="297"/>
      <c r="U64" s="297"/>
    </row>
    <row r="65" spans="1:21">
      <c r="A65" s="295"/>
      <c r="B65" s="295"/>
      <c r="C65" s="296"/>
      <c r="D65" s="296"/>
      <c r="E65" s="296"/>
      <c r="F65" s="296"/>
      <c r="G65" s="296"/>
      <c r="H65" s="297"/>
      <c r="I65" s="296"/>
      <c r="J65" s="296"/>
      <c r="K65" s="296"/>
      <c r="L65" s="297"/>
      <c r="M65" s="297"/>
      <c r="N65" s="297"/>
      <c r="O65" s="297"/>
      <c r="P65" s="297"/>
      <c r="Q65" s="297"/>
      <c r="R65" s="297"/>
      <c r="S65" s="297"/>
      <c r="T65" s="297"/>
      <c r="U65" s="297"/>
    </row>
    <row r="66" spans="1:21">
      <c r="A66" s="295"/>
      <c r="B66" s="295"/>
      <c r="C66" s="296"/>
      <c r="D66" s="296"/>
      <c r="E66" s="296"/>
      <c r="F66" s="296"/>
      <c r="G66" s="296"/>
      <c r="H66" s="297"/>
      <c r="I66" s="296"/>
      <c r="J66" s="296"/>
      <c r="K66" s="296"/>
      <c r="L66" s="297"/>
      <c r="M66" s="297"/>
      <c r="N66" s="297"/>
      <c r="O66" s="297"/>
      <c r="P66" s="297"/>
      <c r="Q66" s="297"/>
      <c r="R66" s="297"/>
      <c r="S66" s="297"/>
      <c r="T66" s="297"/>
      <c r="U66" s="297"/>
    </row>
    <row r="67" spans="1:21">
      <c r="A67" s="295"/>
      <c r="B67" s="295"/>
      <c r="C67" s="296"/>
      <c r="D67" s="296"/>
      <c r="E67" s="296"/>
      <c r="F67" s="296"/>
      <c r="G67" s="296"/>
      <c r="H67" s="297"/>
      <c r="I67" s="296"/>
      <c r="J67" s="296"/>
      <c r="K67" s="296"/>
      <c r="L67" s="297"/>
      <c r="M67" s="297"/>
      <c r="N67" s="297"/>
      <c r="O67" s="297"/>
      <c r="P67" s="297"/>
      <c r="Q67" s="297"/>
      <c r="R67" s="297"/>
      <c r="S67" s="297"/>
      <c r="T67" s="297"/>
      <c r="U67" s="297"/>
    </row>
    <row r="68" spans="1:21">
      <c r="A68" s="295"/>
      <c r="B68" s="295"/>
      <c r="C68" s="296"/>
      <c r="D68" s="296"/>
      <c r="E68" s="296"/>
      <c r="F68" s="296"/>
      <c r="G68" s="296"/>
      <c r="H68" s="297"/>
      <c r="I68" s="296"/>
      <c r="J68" s="296"/>
      <c r="K68" s="296"/>
      <c r="L68" s="297"/>
      <c r="M68" s="297"/>
      <c r="N68" s="297"/>
      <c r="O68" s="297"/>
      <c r="P68" s="297"/>
      <c r="Q68" s="297"/>
      <c r="R68" s="297"/>
      <c r="S68" s="297"/>
      <c r="T68" s="297"/>
      <c r="U68" s="297"/>
    </row>
    <row r="69" spans="1:21">
      <c r="A69" s="295"/>
      <c r="B69" s="295"/>
      <c r="C69" s="296"/>
      <c r="D69" s="296"/>
      <c r="E69" s="296"/>
      <c r="F69" s="296"/>
      <c r="G69" s="296"/>
      <c r="H69" s="297"/>
      <c r="I69" s="296"/>
      <c r="J69" s="296"/>
      <c r="K69" s="296"/>
      <c r="L69" s="297"/>
      <c r="M69" s="297"/>
      <c r="N69" s="297"/>
      <c r="O69" s="297"/>
      <c r="P69" s="297"/>
      <c r="Q69" s="297"/>
      <c r="R69" s="297"/>
      <c r="S69" s="297"/>
      <c r="T69" s="297"/>
      <c r="U69" s="297"/>
    </row>
    <row r="70" spans="1:21">
      <c r="A70" s="295"/>
      <c r="B70" s="295"/>
      <c r="C70" s="296"/>
      <c r="D70" s="296"/>
      <c r="E70" s="296"/>
      <c r="F70" s="296"/>
      <c r="G70" s="296"/>
      <c r="H70" s="297"/>
      <c r="I70" s="296"/>
      <c r="J70" s="296"/>
      <c r="K70" s="296"/>
      <c r="L70" s="297"/>
      <c r="M70" s="297"/>
      <c r="N70" s="297"/>
      <c r="O70" s="297"/>
      <c r="P70" s="297"/>
      <c r="Q70" s="297"/>
      <c r="R70" s="297"/>
      <c r="S70" s="297"/>
      <c r="T70" s="297"/>
      <c r="U70" s="297"/>
    </row>
    <row r="71" spans="1:21">
      <c r="A71" s="295"/>
      <c r="B71" s="295"/>
      <c r="C71" s="296"/>
      <c r="D71" s="296"/>
      <c r="E71" s="296"/>
      <c r="F71" s="296"/>
      <c r="G71" s="296"/>
      <c r="H71" s="297"/>
      <c r="I71" s="296"/>
      <c r="J71" s="296"/>
      <c r="K71" s="296"/>
      <c r="L71" s="297"/>
      <c r="M71" s="297"/>
      <c r="N71" s="297"/>
      <c r="O71" s="297"/>
      <c r="P71" s="297"/>
      <c r="Q71" s="297"/>
      <c r="R71" s="297"/>
      <c r="S71" s="297"/>
      <c r="T71" s="297"/>
      <c r="U71" s="297"/>
    </row>
    <row r="72" spans="1:21">
      <c r="A72" s="295"/>
      <c r="B72" s="295"/>
      <c r="C72" s="296"/>
      <c r="D72" s="296"/>
      <c r="E72" s="296"/>
      <c r="F72" s="296"/>
      <c r="G72" s="296"/>
      <c r="H72" s="297"/>
      <c r="I72" s="296"/>
      <c r="J72" s="296"/>
      <c r="K72" s="296"/>
      <c r="L72" s="297"/>
      <c r="M72" s="297"/>
      <c r="N72" s="297"/>
      <c r="O72" s="297"/>
      <c r="P72" s="297"/>
      <c r="Q72" s="297"/>
      <c r="R72" s="297"/>
      <c r="S72" s="297"/>
      <c r="T72" s="297"/>
      <c r="U72" s="297"/>
    </row>
    <row r="73" spans="1:21">
      <c r="A73" s="295"/>
      <c r="B73" s="295"/>
      <c r="C73" s="296"/>
      <c r="D73" s="296"/>
      <c r="E73" s="296"/>
      <c r="F73" s="296"/>
      <c r="G73" s="296"/>
      <c r="H73" s="297"/>
      <c r="I73" s="296"/>
      <c r="J73" s="296"/>
      <c r="K73" s="296"/>
      <c r="L73" s="297"/>
      <c r="M73" s="297"/>
      <c r="N73" s="297"/>
      <c r="O73" s="297"/>
      <c r="P73" s="297"/>
      <c r="Q73" s="297"/>
      <c r="R73" s="297"/>
      <c r="S73" s="297"/>
      <c r="T73" s="297"/>
      <c r="U73" s="297"/>
    </row>
    <row r="74" spans="1:21">
      <c r="A74" s="295"/>
      <c r="B74" s="295"/>
      <c r="C74" s="296"/>
      <c r="D74" s="296"/>
      <c r="E74" s="296"/>
      <c r="F74" s="296"/>
      <c r="G74" s="296"/>
      <c r="H74" s="297"/>
      <c r="I74" s="296"/>
      <c r="J74" s="296"/>
      <c r="K74" s="296"/>
      <c r="L74" s="297"/>
      <c r="M74" s="297"/>
      <c r="N74" s="297"/>
      <c r="O74" s="297"/>
      <c r="P74" s="297"/>
      <c r="Q74" s="297"/>
      <c r="R74" s="297"/>
      <c r="S74" s="297"/>
      <c r="T74" s="297"/>
      <c r="U74" s="297"/>
    </row>
    <row r="75" spans="1:21">
      <c r="A75" s="295"/>
      <c r="B75" s="295"/>
      <c r="C75" s="296"/>
      <c r="D75" s="296"/>
      <c r="E75" s="296"/>
      <c r="F75" s="296"/>
      <c r="G75" s="296"/>
      <c r="H75" s="297"/>
      <c r="I75" s="296"/>
      <c r="J75" s="296"/>
      <c r="K75" s="296"/>
      <c r="L75" s="297"/>
      <c r="M75" s="297"/>
      <c r="N75" s="297"/>
      <c r="O75" s="297"/>
      <c r="P75" s="297"/>
      <c r="Q75" s="297"/>
      <c r="R75" s="297"/>
      <c r="S75" s="297"/>
      <c r="T75" s="297"/>
      <c r="U75" s="297"/>
    </row>
    <row r="76" spans="1:21">
      <c r="A76" s="295"/>
      <c r="B76" s="295"/>
      <c r="C76" s="296"/>
      <c r="D76" s="296"/>
      <c r="E76" s="296"/>
      <c r="F76" s="296"/>
      <c r="G76" s="296"/>
      <c r="H76" s="297"/>
      <c r="I76" s="296"/>
      <c r="J76" s="296"/>
      <c r="K76" s="296"/>
      <c r="L76" s="297"/>
      <c r="M76" s="297"/>
      <c r="N76" s="297"/>
      <c r="O76" s="297"/>
      <c r="P76" s="297"/>
      <c r="Q76" s="297"/>
      <c r="R76" s="297"/>
      <c r="S76" s="297"/>
      <c r="T76" s="297"/>
      <c r="U76" s="297"/>
    </row>
    <row r="77" spans="1:21">
      <c r="A77" s="295"/>
      <c r="B77" s="295"/>
      <c r="C77" s="296"/>
      <c r="D77" s="296"/>
      <c r="E77" s="296"/>
      <c r="F77" s="296"/>
      <c r="G77" s="296"/>
      <c r="H77" s="297"/>
      <c r="I77" s="296"/>
      <c r="J77" s="296"/>
      <c r="K77" s="296"/>
      <c r="L77" s="297"/>
      <c r="M77" s="297"/>
      <c r="N77" s="297"/>
      <c r="O77" s="297"/>
      <c r="P77" s="297"/>
      <c r="Q77" s="297"/>
      <c r="R77" s="297"/>
      <c r="S77" s="297"/>
      <c r="T77" s="297"/>
      <c r="U77" s="297"/>
    </row>
    <row r="78" spans="1:21">
      <c r="A78" s="295"/>
      <c r="B78" s="295"/>
      <c r="C78" s="296"/>
      <c r="D78" s="296"/>
      <c r="E78" s="296"/>
      <c r="F78" s="296"/>
      <c r="G78" s="296"/>
      <c r="H78" s="297"/>
      <c r="I78" s="296"/>
      <c r="J78" s="296"/>
      <c r="K78" s="296"/>
      <c r="L78" s="297"/>
      <c r="M78" s="297"/>
      <c r="N78" s="297"/>
      <c r="O78" s="297"/>
      <c r="P78" s="297"/>
      <c r="Q78" s="297"/>
      <c r="R78" s="297"/>
      <c r="S78" s="297"/>
      <c r="T78" s="297"/>
      <c r="U78" s="297"/>
    </row>
    <row r="79" spans="1:21">
      <c r="A79" s="295"/>
      <c r="B79" s="295"/>
      <c r="C79" s="296"/>
      <c r="D79" s="296"/>
      <c r="E79" s="296"/>
      <c r="F79" s="296"/>
      <c r="G79" s="296"/>
      <c r="H79" s="297"/>
      <c r="I79" s="296"/>
      <c r="J79" s="296"/>
      <c r="K79" s="296"/>
      <c r="L79" s="297"/>
      <c r="M79" s="297"/>
      <c r="N79" s="297"/>
      <c r="O79" s="297"/>
      <c r="P79" s="297"/>
      <c r="Q79" s="297"/>
      <c r="R79" s="297"/>
      <c r="S79" s="297"/>
      <c r="T79" s="297"/>
      <c r="U79" s="297"/>
    </row>
    <row r="80" spans="1:21">
      <c r="A80" s="295"/>
      <c r="B80" s="295"/>
      <c r="C80" s="296"/>
      <c r="D80" s="296"/>
      <c r="E80" s="296"/>
      <c r="F80" s="296"/>
      <c r="G80" s="296"/>
      <c r="H80" s="297"/>
      <c r="I80" s="296"/>
      <c r="J80" s="296"/>
      <c r="K80" s="296"/>
      <c r="L80" s="297"/>
      <c r="M80" s="297"/>
      <c r="N80" s="297"/>
      <c r="O80" s="297"/>
      <c r="P80" s="297"/>
      <c r="Q80" s="297"/>
      <c r="R80" s="297"/>
      <c r="S80" s="297"/>
      <c r="T80" s="297"/>
      <c r="U80" s="297"/>
    </row>
    <row r="81" spans="1:21">
      <c r="A81" s="295"/>
      <c r="B81" s="295"/>
      <c r="C81" s="296"/>
      <c r="D81" s="296"/>
      <c r="E81" s="296"/>
      <c r="F81" s="296"/>
      <c r="G81" s="296"/>
      <c r="H81" s="297"/>
      <c r="I81" s="296"/>
      <c r="J81" s="296"/>
      <c r="K81" s="296"/>
      <c r="L81" s="297"/>
      <c r="M81" s="297"/>
      <c r="N81" s="297"/>
      <c r="O81" s="297"/>
      <c r="P81" s="297"/>
      <c r="Q81" s="297"/>
      <c r="R81" s="297"/>
      <c r="S81" s="297"/>
      <c r="T81" s="297"/>
      <c r="U81" s="297"/>
    </row>
    <row r="82" spans="1:21">
      <c r="A82" s="295"/>
      <c r="B82" s="295"/>
      <c r="C82" s="296"/>
      <c r="D82" s="296"/>
      <c r="E82" s="296"/>
      <c r="F82" s="296"/>
      <c r="G82" s="296"/>
      <c r="H82" s="297"/>
      <c r="I82" s="296"/>
      <c r="J82" s="296"/>
      <c r="K82" s="296"/>
      <c r="L82" s="297"/>
      <c r="M82" s="297"/>
      <c r="N82" s="297"/>
      <c r="O82" s="297"/>
      <c r="P82" s="297"/>
      <c r="Q82" s="297"/>
      <c r="R82" s="297"/>
      <c r="S82" s="297"/>
      <c r="T82" s="297"/>
      <c r="U82" s="297"/>
    </row>
    <row r="83" spans="1:21">
      <c r="A83" s="295"/>
      <c r="B83" s="295"/>
      <c r="C83" s="296"/>
      <c r="D83" s="296"/>
      <c r="E83" s="296"/>
      <c r="F83" s="296"/>
      <c r="G83" s="296"/>
      <c r="H83" s="297"/>
      <c r="I83" s="296"/>
      <c r="J83" s="296"/>
      <c r="K83" s="296"/>
      <c r="L83" s="297"/>
      <c r="M83" s="297"/>
      <c r="N83" s="297"/>
      <c r="O83" s="297"/>
      <c r="P83" s="297"/>
      <c r="Q83" s="297"/>
      <c r="R83" s="297"/>
      <c r="S83" s="297"/>
      <c r="T83" s="297"/>
      <c r="U83" s="297"/>
    </row>
    <row r="84" spans="1:21">
      <c r="A84" s="295"/>
      <c r="B84" s="295"/>
      <c r="C84" s="296"/>
      <c r="D84" s="296"/>
      <c r="E84" s="296"/>
      <c r="F84" s="296"/>
      <c r="G84" s="296"/>
      <c r="H84" s="297"/>
      <c r="I84" s="296"/>
      <c r="J84" s="296"/>
      <c r="K84" s="296"/>
      <c r="L84" s="297"/>
      <c r="M84" s="297"/>
      <c r="N84" s="297"/>
      <c r="O84" s="297"/>
      <c r="P84" s="297"/>
      <c r="Q84" s="297"/>
      <c r="R84" s="297"/>
      <c r="S84" s="297"/>
      <c r="T84" s="297"/>
      <c r="U84" s="297"/>
    </row>
    <row r="85" spans="1:21">
      <c r="A85" s="295"/>
      <c r="B85" s="295"/>
      <c r="C85" s="296"/>
      <c r="D85" s="296"/>
      <c r="E85" s="296"/>
      <c r="F85" s="296"/>
      <c r="G85" s="296"/>
      <c r="H85" s="297"/>
      <c r="I85" s="296"/>
      <c r="J85" s="296"/>
      <c r="K85" s="296"/>
      <c r="L85" s="297"/>
      <c r="M85" s="297"/>
      <c r="N85" s="297"/>
      <c r="O85" s="297"/>
      <c r="P85" s="297"/>
      <c r="Q85" s="297"/>
      <c r="R85" s="297"/>
      <c r="S85" s="297"/>
      <c r="T85" s="297"/>
      <c r="U85" s="297"/>
    </row>
    <row r="86" spans="1:21">
      <c r="A86" s="295"/>
      <c r="B86" s="295"/>
      <c r="C86" s="296"/>
      <c r="D86" s="296"/>
      <c r="E86" s="296"/>
      <c r="F86" s="296"/>
      <c r="G86" s="296"/>
      <c r="H86" s="297"/>
      <c r="I86" s="296"/>
      <c r="J86" s="296"/>
      <c r="K86" s="296"/>
      <c r="L86" s="297"/>
      <c r="M86" s="297"/>
      <c r="N86" s="297"/>
      <c r="O86" s="297"/>
      <c r="P86" s="297"/>
      <c r="Q86" s="297"/>
      <c r="R86" s="297"/>
      <c r="S86" s="297"/>
      <c r="T86" s="297"/>
      <c r="U86" s="297"/>
    </row>
    <row r="87" spans="1:21">
      <c r="A87" s="295"/>
      <c r="B87" s="295"/>
      <c r="C87" s="296"/>
      <c r="D87" s="296"/>
      <c r="E87" s="296"/>
      <c r="F87" s="296"/>
      <c r="G87" s="296"/>
      <c r="H87" s="297"/>
      <c r="I87" s="296"/>
      <c r="J87" s="296"/>
      <c r="K87" s="296"/>
      <c r="L87" s="297"/>
      <c r="M87" s="297"/>
      <c r="N87" s="297"/>
      <c r="O87" s="297"/>
      <c r="P87" s="297"/>
      <c r="Q87" s="297"/>
      <c r="R87" s="297"/>
      <c r="S87" s="297"/>
      <c r="T87" s="297"/>
      <c r="U87" s="297"/>
    </row>
    <row r="88" spans="1:21">
      <c r="A88" s="295"/>
      <c r="B88" s="295"/>
      <c r="C88" s="296"/>
      <c r="D88" s="296"/>
      <c r="E88" s="296"/>
      <c r="F88" s="296"/>
      <c r="G88" s="296"/>
      <c r="H88" s="297"/>
      <c r="I88" s="296"/>
      <c r="J88" s="296"/>
      <c r="K88" s="296"/>
      <c r="L88" s="297"/>
      <c r="M88" s="297"/>
      <c r="N88" s="297"/>
      <c r="O88" s="297"/>
      <c r="P88" s="297"/>
      <c r="Q88" s="297"/>
      <c r="R88" s="297"/>
      <c r="S88" s="297"/>
      <c r="T88" s="297"/>
      <c r="U88" s="297"/>
    </row>
    <row r="89" spans="1:21">
      <c r="A89" s="295"/>
      <c r="B89" s="295"/>
      <c r="C89" s="296"/>
      <c r="D89" s="296"/>
      <c r="E89" s="296"/>
      <c r="F89" s="296"/>
      <c r="G89" s="296"/>
      <c r="H89" s="297"/>
      <c r="I89" s="296"/>
      <c r="J89" s="296"/>
      <c r="K89" s="296"/>
      <c r="L89" s="297"/>
      <c r="M89" s="297"/>
      <c r="N89" s="297"/>
      <c r="O89" s="297"/>
      <c r="P89" s="297"/>
      <c r="Q89" s="297"/>
      <c r="R89" s="297"/>
      <c r="S89" s="297"/>
      <c r="T89" s="297"/>
      <c r="U89" s="297"/>
    </row>
    <row r="90" spans="1:21">
      <c r="A90" s="295"/>
      <c r="B90" s="295"/>
      <c r="C90" s="296"/>
      <c r="D90" s="296"/>
      <c r="E90" s="296"/>
      <c r="F90" s="296"/>
      <c r="G90" s="296"/>
      <c r="H90" s="297"/>
      <c r="I90" s="296"/>
      <c r="J90" s="296"/>
      <c r="K90" s="296"/>
      <c r="L90" s="297"/>
      <c r="M90" s="297"/>
      <c r="N90" s="297"/>
      <c r="O90" s="297"/>
      <c r="P90" s="297"/>
      <c r="Q90" s="297"/>
      <c r="R90" s="297"/>
      <c r="S90" s="297"/>
      <c r="T90" s="297"/>
      <c r="U90" s="297"/>
    </row>
    <row r="91" spans="1:21">
      <c r="A91" s="295"/>
      <c r="B91" s="295"/>
      <c r="C91" s="296"/>
      <c r="D91" s="296"/>
      <c r="E91" s="296"/>
      <c r="F91" s="296"/>
      <c r="G91" s="296"/>
      <c r="H91" s="297"/>
      <c r="I91" s="296"/>
      <c r="J91" s="296"/>
      <c r="K91" s="296"/>
      <c r="L91" s="297"/>
      <c r="M91" s="297"/>
      <c r="N91" s="297"/>
      <c r="O91" s="297"/>
      <c r="P91" s="297"/>
      <c r="Q91" s="297"/>
      <c r="R91" s="297"/>
      <c r="S91" s="297"/>
      <c r="T91" s="297"/>
      <c r="U91" s="297"/>
    </row>
    <row r="92" spans="1:21">
      <c r="A92" s="295"/>
      <c r="B92" s="295"/>
      <c r="C92" s="296"/>
      <c r="D92" s="296"/>
      <c r="E92" s="296"/>
      <c r="F92" s="296"/>
      <c r="G92" s="296"/>
      <c r="H92" s="297"/>
      <c r="I92" s="296"/>
      <c r="J92" s="296"/>
      <c r="K92" s="296"/>
      <c r="L92" s="297"/>
      <c r="M92" s="297"/>
      <c r="N92" s="297"/>
      <c r="O92" s="297"/>
      <c r="P92" s="297"/>
      <c r="Q92" s="297"/>
      <c r="R92" s="297"/>
      <c r="S92" s="297"/>
      <c r="T92" s="297"/>
      <c r="U92" s="297"/>
    </row>
    <row r="93" spans="1:21">
      <c r="A93" s="295"/>
      <c r="B93" s="295"/>
      <c r="C93" s="296"/>
      <c r="D93" s="296"/>
      <c r="E93" s="296"/>
      <c r="F93" s="296"/>
      <c r="G93" s="296"/>
      <c r="H93" s="297"/>
      <c r="I93" s="296"/>
      <c r="J93" s="296"/>
      <c r="K93" s="296"/>
      <c r="L93" s="297"/>
      <c r="M93" s="297"/>
      <c r="N93" s="297"/>
      <c r="O93" s="297"/>
      <c r="P93" s="297"/>
      <c r="Q93" s="297"/>
      <c r="R93" s="297"/>
      <c r="S93" s="297"/>
      <c r="T93" s="297"/>
      <c r="U93" s="297"/>
    </row>
    <row r="94" spans="1:21">
      <c r="A94" s="295"/>
      <c r="B94" s="295"/>
      <c r="C94" s="296"/>
      <c r="D94" s="296"/>
      <c r="E94" s="296"/>
      <c r="F94" s="296"/>
      <c r="G94" s="296"/>
      <c r="H94" s="297"/>
      <c r="I94" s="296"/>
      <c r="J94" s="296"/>
      <c r="K94" s="296"/>
      <c r="L94" s="297"/>
      <c r="M94" s="297"/>
      <c r="N94" s="297"/>
      <c r="O94" s="297"/>
      <c r="P94" s="297"/>
      <c r="Q94" s="297"/>
      <c r="R94" s="297"/>
      <c r="S94" s="297"/>
      <c r="T94" s="297"/>
      <c r="U94" s="297"/>
    </row>
    <row r="95" spans="1:21">
      <c r="A95" s="295"/>
      <c r="B95" s="295"/>
      <c r="C95" s="296"/>
      <c r="D95" s="296"/>
      <c r="E95" s="296"/>
      <c r="F95" s="296"/>
      <c r="G95" s="296"/>
      <c r="H95" s="297"/>
      <c r="I95" s="296"/>
      <c r="J95" s="296"/>
      <c r="K95" s="296"/>
      <c r="L95" s="297"/>
      <c r="M95" s="297"/>
      <c r="N95" s="297"/>
      <c r="O95" s="297"/>
      <c r="P95" s="297"/>
      <c r="Q95" s="297"/>
      <c r="R95" s="297"/>
      <c r="S95" s="297"/>
      <c r="T95" s="297"/>
      <c r="U95" s="297"/>
    </row>
    <row r="96" spans="1:21">
      <c r="A96" s="295"/>
      <c r="B96" s="295"/>
      <c r="C96" s="296"/>
      <c r="D96" s="296"/>
      <c r="E96" s="296"/>
      <c r="F96" s="296"/>
      <c r="G96" s="296"/>
      <c r="H96" s="297"/>
      <c r="I96" s="296"/>
      <c r="J96" s="296"/>
      <c r="K96" s="296"/>
      <c r="L96" s="297"/>
      <c r="M96" s="297"/>
      <c r="N96" s="297"/>
      <c r="O96" s="297"/>
      <c r="P96" s="297"/>
      <c r="Q96" s="297"/>
      <c r="R96" s="297"/>
      <c r="S96" s="297"/>
      <c r="T96" s="297"/>
      <c r="U96" s="297"/>
    </row>
    <row r="97" spans="1:21">
      <c r="A97" s="295"/>
      <c r="B97" s="295"/>
      <c r="C97" s="296"/>
      <c r="D97" s="296"/>
      <c r="E97" s="296"/>
      <c r="F97" s="296"/>
      <c r="G97" s="296"/>
      <c r="H97" s="297"/>
      <c r="I97" s="296"/>
      <c r="J97" s="296"/>
      <c r="K97" s="296"/>
      <c r="L97" s="297"/>
      <c r="M97" s="297"/>
      <c r="N97" s="297"/>
      <c r="O97" s="297"/>
      <c r="P97" s="297"/>
      <c r="Q97" s="297"/>
      <c r="R97" s="297"/>
      <c r="S97" s="297"/>
      <c r="T97" s="297"/>
      <c r="U97" s="297"/>
    </row>
    <row r="98" spans="1:21">
      <c r="A98" s="295"/>
      <c r="B98" s="295"/>
      <c r="C98" s="296"/>
      <c r="D98" s="296"/>
      <c r="E98" s="296"/>
      <c r="F98" s="296"/>
      <c r="G98" s="296"/>
      <c r="H98" s="297"/>
      <c r="I98" s="296"/>
      <c r="J98" s="296"/>
      <c r="K98" s="296"/>
      <c r="L98" s="297"/>
      <c r="M98" s="297"/>
      <c r="N98" s="297"/>
      <c r="O98" s="297"/>
      <c r="P98" s="297"/>
      <c r="Q98" s="297"/>
      <c r="R98" s="297"/>
      <c r="S98" s="297"/>
      <c r="T98" s="297"/>
      <c r="U98" s="297"/>
    </row>
    <row r="99" spans="1:21">
      <c r="A99" s="295"/>
      <c r="B99" s="295"/>
      <c r="C99" s="296"/>
      <c r="D99" s="296"/>
      <c r="E99" s="296"/>
      <c r="F99" s="296"/>
      <c r="G99" s="296"/>
      <c r="H99" s="297"/>
      <c r="I99" s="296"/>
      <c r="J99" s="296"/>
      <c r="K99" s="296"/>
      <c r="L99" s="297"/>
      <c r="M99" s="297"/>
      <c r="N99" s="297"/>
      <c r="O99" s="297"/>
      <c r="P99" s="297"/>
      <c r="Q99" s="297"/>
      <c r="R99" s="297"/>
      <c r="S99" s="297"/>
      <c r="T99" s="297"/>
      <c r="U99" s="297"/>
    </row>
    <row r="100" spans="1:21">
      <c r="A100" s="295"/>
      <c r="B100" s="295"/>
      <c r="C100" s="296"/>
      <c r="D100" s="296"/>
      <c r="E100" s="296"/>
      <c r="F100" s="296"/>
      <c r="G100" s="296"/>
      <c r="H100" s="297"/>
      <c r="I100" s="296"/>
      <c r="J100" s="296"/>
      <c r="K100" s="296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</row>
    <row r="101" spans="1:21">
      <c r="A101" s="295"/>
      <c r="B101" s="295"/>
      <c r="C101" s="296"/>
      <c r="D101" s="296"/>
      <c r="E101" s="296"/>
      <c r="F101" s="296"/>
      <c r="G101" s="296"/>
      <c r="H101" s="297"/>
      <c r="I101" s="296"/>
      <c r="J101" s="296"/>
      <c r="K101" s="296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</row>
    <row r="102" spans="1:21">
      <c r="A102" s="295"/>
      <c r="B102" s="295"/>
      <c r="C102" s="296"/>
      <c r="D102" s="296"/>
      <c r="E102" s="296"/>
      <c r="F102" s="296"/>
      <c r="G102" s="296"/>
      <c r="H102" s="297"/>
      <c r="I102" s="296"/>
      <c r="J102" s="296"/>
      <c r="K102" s="296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</row>
    <row r="103" spans="1:21">
      <c r="A103" s="295"/>
      <c r="B103" s="295"/>
      <c r="C103" s="296"/>
      <c r="D103" s="296"/>
      <c r="E103" s="296"/>
      <c r="F103" s="296"/>
      <c r="G103" s="296"/>
      <c r="H103" s="297"/>
      <c r="I103" s="296"/>
      <c r="J103" s="296"/>
      <c r="K103" s="296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</row>
    <row r="104" spans="1:21">
      <c r="A104" s="295"/>
      <c r="B104" s="295"/>
      <c r="C104" s="296"/>
      <c r="D104" s="296"/>
      <c r="E104" s="296"/>
      <c r="F104" s="296"/>
      <c r="G104" s="296"/>
      <c r="H104" s="297"/>
      <c r="I104" s="296"/>
      <c r="J104" s="296"/>
      <c r="K104" s="296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</row>
    <row r="105" spans="1:21">
      <c r="A105" s="295"/>
      <c r="B105" s="295"/>
      <c r="C105" s="296"/>
      <c r="D105" s="296"/>
      <c r="E105" s="296"/>
      <c r="F105" s="296"/>
      <c r="G105" s="296"/>
      <c r="H105" s="297"/>
      <c r="I105" s="296"/>
      <c r="J105" s="296"/>
      <c r="K105" s="296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</row>
    <row r="106" spans="1:21">
      <c r="A106" s="295"/>
      <c r="B106" s="295"/>
      <c r="C106" s="296"/>
      <c r="D106" s="296"/>
      <c r="E106" s="296"/>
      <c r="F106" s="296"/>
      <c r="G106" s="296"/>
      <c r="H106" s="297"/>
      <c r="I106" s="296"/>
      <c r="J106" s="296"/>
      <c r="K106" s="296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</row>
    <row r="107" spans="1:21">
      <c r="A107" s="295"/>
      <c r="B107" s="295"/>
      <c r="C107" s="296"/>
      <c r="D107" s="296"/>
      <c r="E107" s="296"/>
      <c r="F107" s="296"/>
      <c r="G107" s="296"/>
      <c r="H107" s="297"/>
      <c r="I107" s="296"/>
      <c r="J107" s="296"/>
      <c r="K107" s="296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</row>
    <row r="108" spans="1:21">
      <c r="A108" s="295"/>
      <c r="B108" s="295"/>
      <c r="C108" s="296"/>
      <c r="D108" s="296"/>
      <c r="E108" s="296"/>
      <c r="F108" s="296"/>
      <c r="G108" s="296"/>
      <c r="H108" s="297"/>
      <c r="I108" s="296"/>
      <c r="J108" s="296"/>
      <c r="K108" s="296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</row>
    <row r="109" spans="1:21">
      <c r="A109" s="295"/>
      <c r="B109" s="295"/>
      <c r="C109" s="296"/>
      <c r="D109" s="296"/>
      <c r="E109" s="296"/>
      <c r="F109" s="296"/>
      <c r="G109" s="296"/>
      <c r="H109" s="297"/>
      <c r="I109" s="296"/>
      <c r="J109" s="296"/>
      <c r="K109" s="296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</row>
    <row r="110" spans="1:21">
      <c r="A110" s="295"/>
      <c r="B110" s="295"/>
      <c r="C110" s="296"/>
      <c r="D110" s="296"/>
      <c r="E110" s="296"/>
      <c r="F110" s="296"/>
      <c r="G110" s="296"/>
      <c r="H110" s="297"/>
      <c r="I110" s="296"/>
      <c r="J110" s="296"/>
      <c r="K110" s="296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</row>
    <row r="111" spans="1:21">
      <c r="A111" s="295"/>
      <c r="B111" s="295"/>
      <c r="C111" s="296"/>
      <c r="D111" s="296"/>
      <c r="E111" s="296"/>
      <c r="F111" s="296"/>
      <c r="G111" s="296"/>
      <c r="H111" s="297"/>
      <c r="I111" s="296"/>
      <c r="J111" s="296"/>
      <c r="K111" s="296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</row>
    <row r="112" spans="1:21">
      <c r="A112" s="295"/>
      <c r="B112" s="295"/>
      <c r="C112" s="296"/>
      <c r="D112" s="296"/>
      <c r="E112" s="296"/>
      <c r="F112" s="296"/>
      <c r="G112" s="296"/>
      <c r="H112" s="297"/>
      <c r="I112" s="296"/>
      <c r="J112" s="296"/>
      <c r="K112" s="296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</row>
    <row r="113" spans="1:21">
      <c r="A113" s="295"/>
      <c r="B113" s="295"/>
      <c r="C113" s="296"/>
      <c r="D113" s="296"/>
      <c r="E113" s="296"/>
      <c r="F113" s="296"/>
      <c r="G113" s="296"/>
      <c r="H113" s="297"/>
      <c r="I113" s="296"/>
      <c r="J113" s="296"/>
      <c r="K113" s="296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</row>
    <row r="114" spans="1:21">
      <c r="A114" s="295"/>
      <c r="B114" s="295"/>
      <c r="C114" s="296"/>
      <c r="D114" s="296"/>
      <c r="E114" s="296"/>
      <c r="F114" s="296"/>
      <c r="G114" s="296"/>
      <c r="H114" s="297"/>
      <c r="I114" s="296"/>
      <c r="J114" s="296"/>
      <c r="K114" s="296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</row>
    <row r="115" spans="1:21">
      <c r="A115" s="295"/>
      <c r="B115" s="295"/>
      <c r="C115" s="296"/>
      <c r="D115" s="296"/>
      <c r="E115" s="296"/>
      <c r="F115" s="296"/>
      <c r="G115" s="296"/>
      <c r="H115" s="297"/>
      <c r="I115" s="296"/>
      <c r="J115" s="296"/>
      <c r="K115" s="296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</row>
    <row r="116" spans="1:21">
      <c r="A116" s="295"/>
      <c r="B116" s="295"/>
      <c r="C116" s="296"/>
      <c r="D116" s="296"/>
      <c r="E116" s="296"/>
      <c r="F116" s="296"/>
      <c r="G116" s="296"/>
      <c r="H116" s="297"/>
      <c r="I116" s="296"/>
      <c r="J116" s="296"/>
      <c r="K116" s="296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</row>
    <row r="117" spans="1:21">
      <c r="A117" s="295"/>
      <c r="B117" s="295"/>
      <c r="C117" s="296"/>
      <c r="D117" s="296"/>
      <c r="E117" s="296"/>
      <c r="F117" s="296"/>
      <c r="G117" s="296"/>
      <c r="H117" s="297"/>
      <c r="I117" s="296"/>
      <c r="J117" s="296"/>
      <c r="K117" s="296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</row>
    <row r="118" spans="1:21">
      <c r="A118" s="295"/>
      <c r="B118" s="295"/>
      <c r="C118" s="296"/>
      <c r="D118" s="296"/>
      <c r="E118" s="296"/>
      <c r="F118" s="296"/>
      <c r="G118" s="296"/>
      <c r="H118" s="297"/>
      <c r="I118" s="296"/>
      <c r="J118" s="296"/>
      <c r="K118" s="296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</row>
    <row r="119" spans="1:21">
      <c r="A119" s="295"/>
      <c r="B119" s="295"/>
      <c r="C119" s="296"/>
      <c r="D119" s="296"/>
      <c r="E119" s="296"/>
      <c r="F119" s="296"/>
      <c r="G119" s="296"/>
      <c r="H119" s="297"/>
      <c r="I119" s="296"/>
      <c r="J119" s="296"/>
      <c r="K119" s="296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</row>
    <row r="120" spans="1:21">
      <c r="A120" s="295"/>
      <c r="B120" s="295"/>
      <c r="C120" s="296"/>
      <c r="D120" s="296"/>
      <c r="E120" s="296"/>
      <c r="F120" s="296"/>
      <c r="G120" s="296"/>
      <c r="H120" s="297"/>
      <c r="I120" s="296"/>
      <c r="J120" s="296"/>
      <c r="K120" s="296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</row>
    <row r="121" spans="1:21">
      <c r="A121" s="295"/>
      <c r="B121" s="295"/>
      <c r="C121" s="296"/>
      <c r="D121" s="296"/>
      <c r="E121" s="296"/>
      <c r="F121" s="296"/>
      <c r="G121" s="296"/>
      <c r="H121" s="297"/>
      <c r="I121" s="296"/>
      <c r="J121" s="296"/>
      <c r="K121" s="296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</row>
    <row r="122" spans="1:21">
      <c r="A122" s="295"/>
      <c r="B122" s="295"/>
      <c r="C122" s="296"/>
      <c r="D122" s="296"/>
      <c r="E122" s="296"/>
      <c r="F122" s="296"/>
      <c r="G122" s="296"/>
      <c r="H122" s="297"/>
      <c r="I122" s="296"/>
      <c r="J122" s="296"/>
      <c r="K122" s="296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</row>
    <row r="123" spans="1:21">
      <c r="A123" s="295"/>
      <c r="B123" s="295"/>
      <c r="C123" s="296"/>
      <c r="D123" s="296"/>
      <c r="E123" s="296"/>
      <c r="F123" s="296"/>
      <c r="G123" s="296"/>
      <c r="H123" s="297"/>
      <c r="I123" s="296"/>
      <c r="J123" s="296"/>
      <c r="K123" s="296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</row>
    <row r="124" spans="1:21">
      <c r="A124" s="295"/>
      <c r="B124" s="295"/>
      <c r="C124" s="296"/>
      <c r="D124" s="296"/>
      <c r="E124" s="296"/>
      <c r="F124" s="296"/>
      <c r="G124" s="296"/>
      <c r="H124" s="297"/>
      <c r="I124" s="296"/>
      <c r="J124" s="296"/>
      <c r="K124" s="296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</row>
    <row r="125" spans="1:21">
      <c r="A125" s="295"/>
      <c r="B125" s="295"/>
      <c r="C125" s="296"/>
      <c r="D125" s="296"/>
      <c r="E125" s="296"/>
      <c r="F125" s="296"/>
      <c r="G125" s="296"/>
      <c r="H125" s="297"/>
      <c r="I125" s="296"/>
      <c r="J125" s="296"/>
      <c r="K125" s="296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</row>
    <row r="126" spans="1:21">
      <c r="A126" s="295"/>
      <c r="B126" s="295"/>
      <c r="C126" s="296"/>
      <c r="D126" s="296"/>
      <c r="E126" s="296"/>
      <c r="F126" s="296"/>
      <c r="G126" s="296"/>
      <c r="H126" s="297"/>
      <c r="I126" s="296"/>
      <c r="J126" s="296"/>
      <c r="K126" s="296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</row>
    <row r="127" spans="1:21">
      <c r="A127" s="295"/>
      <c r="B127" s="295"/>
      <c r="C127" s="296"/>
      <c r="D127" s="296"/>
      <c r="E127" s="296"/>
      <c r="F127" s="296"/>
      <c r="G127" s="296"/>
      <c r="H127" s="297"/>
      <c r="I127" s="296"/>
      <c r="J127" s="296"/>
      <c r="K127" s="296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</row>
    <row r="128" spans="1:21">
      <c r="A128" s="295"/>
      <c r="B128" s="295"/>
      <c r="C128" s="296"/>
      <c r="D128" s="296"/>
      <c r="E128" s="296"/>
      <c r="F128" s="296"/>
      <c r="G128" s="296"/>
      <c r="H128" s="297"/>
      <c r="I128" s="296"/>
      <c r="J128" s="296"/>
      <c r="K128" s="296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</row>
    <row r="129" spans="1:21">
      <c r="A129" s="295"/>
      <c r="B129" s="295"/>
      <c r="C129" s="296"/>
      <c r="D129" s="296"/>
      <c r="E129" s="296"/>
      <c r="F129" s="296"/>
      <c r="G129" s="296"/>
      <c r="H129" s="297"/>
      <c r="I129" s="296"/>
      <c r="J129" s="296"/>
      <c r="K129" s="296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</row>
    <row r="130" spans="1:21">
      <c r="A130" s="295"/>
      <c r="B130" s="295"/>
      <c r="C130" s="296"/>
      <c r="D130" s="296"/>
      <c r="E130" s="296"/>
      <c r="F130" s="296"/>
      <c r="G130" s="296"/>
      <c r="H130" s="297"/>
      <c r="I130" s="296"/>
      <c r="J130" s="296"/>
      <c r="K130" s="296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</row>
    <row r="131" spans="1:21">
      <c r="A131" s="295"/>
      <c r="B131" s="295"/>
      <c r="C131" s="296"/>
      <c r="D131" s="296"/>
      <c r="E131" s="296"/>
      <c r="F131" s="296"/>
      <c r="G131" s="296"/>
      <c r="H131" s="297"/>
      <c r="I131" s="296"/>
      <c r="J131" s="296"/>
      <c r="K131" s="296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</row>
    <row r="132" spans="1:21">
      <c r="A132" s="295"/>
      <c r="B132" s="295"/>
      <c r="C132" s="296"/>
      <c r="D132" s="296"/>
      <c r="E132" s="296"/>
      <c r="F132" s="296"/>
      <c r="G132" s="296"/>
      <c r="H132" s="297"/>
      <c r="I132" s="296"/>
      <c r="J132" s="296"/>
      <c r="K132" s="296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</row>
    <row r="133" spans="1:21">
      <c r="A133" s="295"/>
      <c r="B133" s="295"/>
      <c r="C133" s="296"/>
      <c r="D133" s="296"/>
      <c r="E133" s="296"/>
      <c r="F133" s="296"/>
      <c r="G133" s="296"/>
      <c r="H133" s="297"/>
      <c r="I133" s="296"/>
      <c r="J133" s="296"/>
      <c r="K133" s="296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</row>
    <row r="134" spans="1:21">
      <c r="A134" s="295"/>
      <c r="B134" s="295"/>
      <c r="C134" s="296"/>
      <c r="D134" s="296"/>
      <c r="E134" s="296"/>
      <c r="F134" s="296"/>
      <c r="G134" s="296"/>
      <c r="H134" s="297"/>
      <c r="I134" s="296"/>
      <c r="J134" s="296"/>
      <c r="K134" s="296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</row>
    <row r="135" spans="1:21">
      <c r="A135" s="295"/>
      <c r="B135" s="295"/>
      <c r="C135" s="296"/>
      <c r="D135" s="296"/>
      <c r="E135" s="296"/>
      <c r="F135" s="296"/>
      <c r="G135" s="296"/>
      <c r="H135" s="297"/>
      <c r="I135" s="296"/>
      <c r="J135" s="296"/>
      <c r="K135" s="296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</row>
    <row r="136" spans="1:21">
      <c r="A136" s="295"/>
      <c r="B136" s="295"/>
      <c r="C136" s="296"/>
      <c r="D136" s="296"/>
      <c r="E136" s="296"/>
      <c r="F136" s="296"/>
      <c r="G136" s="296"/>
      <c r="H136" s="297"/>
      <c r="I136" s="296"/>
      <c r="J136" s="296"/>
      <c r="K136" s="296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</row>
    <row r="137" spans="1:21">
      <c r="A137" s="295"/>
      <c r="B137" s="295"/>
      <c r="C137" s="296"/>
      <c r="D137" s="296"/>
      <c r="E137" s="296"/>
      <c r="F137" s="296"/>
      <c r="G137" s="296"/>
      <c r="H137" s="297"/>
      <c r="I137" s="296"/>
      <c r="J137" s="296"/>
      <c r="K137" s="296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</row>
    <row r="138" spans="1:21">
      <c r="A138" s="295"/>
      <c r="B138" s="295"/>
      <c r="C138" s="296"/>
      <c r="D138" s="296"/>
      <c r="E138" s="296"/>
      <c r="F138" s="296"/>
      <c r="G138" s="296"/>
      <c r="H138" s="297"/>
      <c r="I138" s="296"/>
      <c r="J138" s="296"/>
      <c r="K138" s="296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</row>
    <row r="139" spans="1:21">
      <c r="A139" s="295"/>
      <c r="B139" s="295"/>
      <c r="C139" s="296"/>
      <c r="D139" s="296"/>
      <c r="E139" s="296"/>
      <c r="F139" s="296"/>
      <c r="G139" s="296"/>
      <c r="H139" s="297"/>
      <c r="I139" s="296"/>
      <c r="J139" s="296"/>
      <c r="K139" s="296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</row>
    <row r="140" spans="1:21">
      <c r="A140" s="295"/>
      <c r="B140" s="295"/>
      <c r="C140" s="296"/>
      <c r="D140" s="296"/>
      <c r="E140" s="296"/>
      <c r="F140" s="296"/>
      <c r="G140" s="296"/>
      <c r="H140" s="297"/>
      <c r="I140" s="296"/>
      <c r="J140" s="296"/>
      <c r="K140" s="296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</row>
    <row r="141" spans="1:21">
      <c r="A141" s="295"/>
      <c r="B141" s="295"/>
      <c r="C141" s="296"/>
      <c r="D141" s="296"/>
      <c r="E141" s="296"/>
      <c r="F141" s="296"/>
      <c r="G141" s="296"/>
      <c r="H141" s="297"/>
      <c r="I141" s="296"/>
      <c r="J141" s="296"/>
      <c r="K141" s="296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</row>
    <row r="142" spans="1:21">
      <c r="A142" s="295"/>
      <c r="B142" s="295"/>
      <c r="C142" s="296"/>
      <c r="D142" s="296"/>
      <c r="E142" s="296"/>
      <c r="F142" s="296"/>
      <c r="G142" s="296"/>
      <c r="H142" s="297"/>
      <c r="I142" s="296"/>
      <c r="J142" s="296"/>
      <c r="K142" s="296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</row>
    <row r="143" spans="1:21">
      <c r="A143" s="295"/>
      <c r="B143" s="295"/>
      <c r="C143" s="296"/>
      <c r="D143" s="296"/>
      <c r="E143" s="296"/>
      <c r="F143" s="296"/>
      <c r="G143" s="296"/>
      <c r="H143" s="297"/>
      <c r="I143" s="296"/>
      <c r="J143" s="296"/>
      <c r="K143" s="296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</row>
    <row r="144" spans="1:21">
      <c r="A144" s="295"/>
      <c r="B144" s="295"/>
      <c r="C144" s="296"/>
      <c r="D144" s="296"/>
      <c r="E144" s="296"/>
      <c r="F144" s="296"/>
      <c r="G144" s="296"/>
      <c r="H144" s="297"/>
      <c r="I144" s="296"/>
      <c r="J144" s="296"/>
      <c r="K144" s="296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</row>
    <row r="145" spans="1:21">
      <c r="A145" s="295"/>
      <c r="B145" s="295"/>
      <c r="C145" s="296"/>
      <c r="D145" s="296"/>
      <c r="E145" s="296"/>
      <c r="F145" s="296"/>
      <c r="G145" s="296"/>
      <c r="H145" s="297"/>
      <c r="I145" s="296"/>
      <c r="J145" s="296"/>
      <c r="K145" s="296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</row>
    <row r="146" spans="1:21">
      <c r="A146" s="295"/>
      <c r="B146" s="295"/>
      <c r="C146" s="296"/>
      <c r="D146" s="296"/>
      <c r="E146" s="296"/>
      <c r="F146" s="296"/>
      <c r="G146" s="296"/>
      <c r="H146" s="297"/>
      <c r="I146" s="296"/>
      <c r="J146" s="296"/>
      <c r="K146" s="296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</row>
    <row r="147" spans="1:21">
      <c r="A147" s="295"/>
      <c r="B147" s="295"/>
      <c r="C147" s="296"/>
      <c r="D147" s="296"/>
      <c r="E147" s="296"/>
      <c r="F147" s="296"/>
      <c r="G147" s="296"/>
      <c r="H147" s="297"/>
      <c r="I147" s="296"/>
      <c r="J147" s="296"/>
      <c r="K147" s="296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</row>
    <row r="148" spans="1:21">
      <c r="A148" s="295"/>
      <c r="B148" s="295"/>
      <c r="C148" s="296"/>
      <c r="D148" s="296"/>
      <c r="E148" s="296"/>
      <c r="F148" s="296"/>
      <c r="G148" s="296"/>
      <c r="H148" s="297"/>
      <c r="I148" s="296"/>
      <c r="J148" s="296"/>
      <c r="K148" s="296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</row>
    <row r="149" spans="1:21">
      <c r="A149" s="295"/>
      <c r="B149" s="295"/>
      <c r="C149" s="296"/>
      <c r="D149" s="296"/>
      <c r="E149" s="296"/>
      <c r="F149" s="296"/>
      <c r="G149" s="296"/>
      <c r="H149" s="297"/>
      <c r="I149" s="296"/>
      <c r="J149" s="296"/>
      <c r="K149" s="296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</row>
    <row r="150" spans="1:21">
      <c r="A150" s="295"/>
      <c r="B150" s="295"/>
      <c r="C150" s="296"/>
      <c r="D150" s="296"/>
      <c r="E150" s="296"/>
      <c r="F150" s="296"/>
      <c r="G150" s="296"/>
      <c r="H150" s="297"/>
      <c r="I150" s="296"/>
      <c r="J150" s="296"/>
      <c r="K150" s="296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</row>
    <row r="151" spans="1:21">
      <c r="A151" s="295"/>
      <c r="B151" s="295"/>
      <c r="C151" s="296"/>
      <c r="D151" s="296"/>
      <c r="E151" s="296"/>
      <c r="F151" s="296"/>
      <c r="G151" s="296"/>
      <c r="H151" s="297"/>
      <c r="I151" s="296"/>
      <c r="J151" s="296"/>
      <c r="K151" s="296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</row>
    <row r="152" spans="1:21">
      <c r="A152" s="295"/>
      <c r="B152" s="295"/>
      <c r="C152" s="296"/>
      <c r="D152" s="296"/>
      <c r="E152" s="296"/>
      <c r="F152" s="296"/>
      <c r="G152" s="296"/>
      <c r="H152" s="297"/>
      <c r="I152" s="296"/>
      <c r="J152" s="296"/>
      <c r="K152" s="296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</row>
    <row r="153" spans="1:21">
      <c r="A153" s="295"/>
      <c r="B153" s="295"/>
      <c r="C153" s="296"/>
      <c r="D153" s="296"/>
      <c r="E153" s="296"/>
      <c r="F153" s="296"/>
      <c r="G153" s="296"/>
      <c r="H153" s="297"/>
      <c r="I153" s="296"/>
      <c r="J153" s="296"/>
      <c r="K153" s="296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</row>
    <row r="154" spans="1:21">
      <c r="A154" s="295"/>
      <c r="B154" s="295"/>
      <c r="C154" s="296"/>
      <c r="D154" s="296"/>
      <c r="E154" s="296"/>
      <c r="F154" s="296"/>
      <c r="G154" s="296"/>
      <c r="H154" s="297"/>
      <c r="I154" s="296"/>
      <c r="J154" s="296"/>
      <c r="K154" s="296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</row>
    <row r="155" spans="1:21">
      <c r="A155" s="295"/>
      <c r="B155" s="295"/>
      <c r="C155" s="296"/>
      <c r="D155" s="296"/>
      <c r="E155" s="296"/>
      <c r="F155" s="296"/>
      <c r="G155" s="296"/>
      <c r="H155" s="297"/>
      <c r="I155" s="296"/>
      <c r="J155" s="296"/>
      <c r="K155" s="296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</row>
    <row r="156" spans="1:21">
      <c r="A156" s="295"/>
      <c r="B156" s="295"/>
      <c r="C156" s="296"/>
      <c r="D156" s="296"/>
      <c r="E156" s="296"/>
      <c r="F156" s="296"/>
      <c r="G156" s="296"/>
      <c r="H156" s="297"/>
      <c r="I156" s="296"/>
      <c r="J156" s="296"/>
      <c r="K156" s="296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</row>
    <row r="157" spans="1:21">
      <c r="A157" s="295"/>
      <c r="B157" s="295"/>
      <c r="C157" s="296"/>
      <c r="D157" s="296"/>
      <c r="E157" s="296"/>
      <c r="F157" s="296"/>
      <c r="G157" s="296"/>
      <c r="H157" s="297"/>
      <c r="I157" s="296"/>
      <c r="J157" s="296"/>
      <c r="K157" s="296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</row>
    <row r="158" spans="1:21">
      <c r="A158" s="295"/>
      <c r="B158" s="295"/>
      <c r="C158" s="296"/>
      <c r="D158" s="296"/>
      <c r="E158" s="296"/>
      <c r="F158" s="296"/>
      <c r="G158" s="296"/>
      <c r="H158" s="297"/>
      <c r="I158" s="296"/>
      <c r="J158" s="296"/>
      <c r="K158" s="296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</row>
    <row r="159" spans="1:21">
      <c r="A159" s="295"/>
      <c r="B159" s="295"/>
      <c r="C159" s="296"/>
      <c r="D159" s="296"/>
      <c r="E159" s="296"/>
      <c r="F159" s="296"/>
      <c r="G159" s="296"/>
      <c r="H159" s="297"/>
      <c r="I159" s="296"/>
      <c r="J159" s="296"/>
      <c r="K159" s="296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</row>
    <row r="160" spans="1:21">
      <c r="A160" s="295"/>
      <c r="B160" s="295"/>
      <c r="C160" s="296"/>
      <c r="D160" s="296"/>
      <c r="E160" s="296"/>
      <c r="F160" s="296"/>
      <c r="G160" s="296"/>
      <c r="H160" s="297"/>
      <c r="I160" s="296"/>
      <c r="J160" s="296"/>
      <c r="K160" s="296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</row>
    <row r="161" spans="1:21">
      <c r="A161" s="295"/>
      <c r="B161" s="295"/>
      <c r="C161" s="296"/>
      <c r="D161" s="296"/>
      <c r="E161" s="296"/>
      <c r="F161" s="296"/>
      <c r="G161" s="296"/>
      <c r="H161" s="297"/>
      <c r="I161" s="296"/>
      <c r="J161" s="296"/>
      <c r="K161" s="296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</row>
    <row r="162" spans="1:21">
      <c r="A162" s="295"/>
      <c r="B162" s="295"/>
      <c r="C162" s="296"/>
      <c r="D162" s="296"/>
      <c r="E162" s="296"/>
      <c r="F162" s="296"/>
      <c r="G162" s="296"/>
      <c r="H162" s="297"/>
      <c r="I162" s="296"/>
      <c r="J162" s="296"/>
      <c r="K162" s="296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</row>
    <row r="163" spans="1:21">
      <c r="A163" s="295"/>
      <c r="B163" s="295"/>
      <c r="C163" s="296"/>
      <c r="D163" s="296"/>
      <c r="E163" s="296"/>
      <c r="F163" s="296"/>
      <c r="G163" s="296"/>
      <c r="H163" s="297"/>
      <c r="I163" s="296"/>
      <c r="J163" s="296"/>
      <c r="K163" s="296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</row>
    <row r="164" spans="1:21">
      <c r="A164" s="295"/>
      <c r="B164" s="295"/>
      <c r="C164" s="296"/>
      <c r="D164" s="296"/>
      <c r="E164" s="296"/>
      <c r="F164" s="296"/>
      <c r="G164" s="296"/>
      <c r="H164" s="297"/>
      <c r="I164" s="296"/>
      <c r="J164" s="296"/>
      <c r="K164" s="296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</row>
    <row r="165" spans="1:21">
      <c r="A165" s="295"/>
      <c r="B165" s="295"/>
      <c r="C165" s="296"/>
      <c r="D165" s="296"/>
      <c r="E165" s="296"/>
      <c r="F165" s="296"/>
      <c r="G165" s="296"/>
      <c r="H165" s="297"/>
      <c r="I165" s="296"/>
      <c r="J165" s="296"/>
      <c r="K165" s="296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</row>
    <row r="166" spans="1:21">
      <c r="A166" s="295"/>
      <c r="B166" s="295"/>
      <c r="C166" s="296"/>
      <c r="D166" s="296"/>
      <c r="E166" s="296"/>
      <c r="F166" s="296"/>
      <c r="G166" s="296"/>
      <c r="H166" s="297"/>
      <c r="I166" s="296"/>
      <c r="J166" s="296"/>
      <c r="K166" s="296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</row>
    <row r="167" spans="1:21">
      <c r="A167" s="295"/>
      <c r="B167" s="295"/>
      <c r="C167" s="296"/>
      <c r="D167" s="296"/>
      <c r="E167" s="296"/>
      <c r="F167" s="296"/>
      <c r="G167" s="296"/>
      <c r="H167" s="297"/>
      <c r="I167" s="296"/>
      <c r="J167" s="296"/>
      <c r="K167" s="296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</row>
    <row r="168" spans="1:21">
      <c r="A168" s="295"/>
      <c r="B168" s="295"/>
      <c r="C168" s="296"/>
      <c r="D168" s="296"/>
      <c r="E168" s="296"/>
      <c r="F168" s="296"/>
      <c r="G168" s="296"/>
      <c r="H168" s="297"/>
      <c r="I168" s="296"/>
      <c r="J168" s="296"/>
      <c r="K168" s="296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</row>
    <row r="169" spans="1:21">
      <c r="A169" s="295"/>
      <c r="B169" s="295"/>
      <c r="C169" s="296"/>
      <c r="D169" s="296"/>
      <c r="E169" s="296"/>
      <c r="F169" s="296"/>
      <c r="G169" s="296"/>
      <c r="H169" s="297"/>
      <c r="I169" s="296"/>
      <c r="J169" s="296"/>
      <c r="K169" s="296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</row>
    <row r="170" spans="1:21">
      <c r="A170" s="295"/>
      <c r="B170" s="295"/>
      <c r="C170" s="296"/>
      <c r="D170" s="296"/>
      <c r="E170" s="296"/>
      <c r="F170" s="296"/>
      <c r="G170" s="296"/>
      <c r="H170" s="297"/>
      <c r="I170" s="296"/>
      <c r="J170" s="296"/>
      <c r="K170" s="296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</row>
    <row r="171" spans="1:21">
      <c r="A171" s="295"/>
      <c r="B171" s="295"/>
      <c r="C171" s="296"/>
      <c r="D171" s="296"/>
      <c r="E171" s="296"/>
      <c r="F171" s="296"/>
      <c r="G171" s="296"/>
      <c r="H171" s="297"/>
      <c r="I171" s="296"/>
      <c r="J171" s="296"/>
      <c r="K171" s="296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</row>
    <row r="172" spans="1:21">
      <c r="A172" s="295"/>
      <c r="B172" s="295"/>
      <c r="C172" s="296"/>
      <c r="D172" s="296"/>
      <c r="E172" s="296"/>
      <c r="F172" s="296"/>
      <c r="G172" s="296"/>
      <c r="H172" s="297"/>
      <c r="I172" s="296"/>
      <c r="J172" s="296"/>
      <c r="K172" s="296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</row>
    <row r="173" spans="1:21">
      <c r="A173" s="295"/>
      <c r="B173" s="295"/>
      <c r="C173" s="296"/>
      <c r="D173" s="296"/>
      <c r="E173" s="296"/>
      <c r="F173" s="296"/>
      <c r="G173" s="296"/>
      <c r="H173" s="297"/>
      <c r="I173" s="296"/>
      <c r="J173" s="296"/>
      <c r="K173" s="296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</row>
    <row r="174" spans="1:21">
      <c r="A174" s="295"/>
      <c r="B174" s="295"/>
      <c r="C174" s="296"/>
      <c r="D174" s="296"/>
      <c r="E174" s="296"/>
      <c r="F174" s="296"/>
      <c r="G174" s="296"/>
      <c r="H174" s="297"/>
      <c r="I174" s="296"/>
      <c r="J174" s="296"/>
      <c r="K174" s="296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</row>
    <row r="175" spans="1:21">
      <c r="A175" s="295"/>
      <c r="B175" s="295"/>
      <c r="C175" s="296"/>
      <c r="D175" s="296"/>
      <c r="E175" s="296"/>
      <c r="F175" s="296"/>
      <c r="G175" s="296"/>
      <c r="H175" s="297"/>
      <c r="I175" s="296"/>
      <c r="J175" s="296"/>
      <c r="K175" s="296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</row>
    <row r="176" spans="1:21">
      <c r="A176" s="295"/>
      <c r="B176" s="295"/>
      <c r="C176" s="296"/>
      <c r="D176" s="296"/>
      <c r="E176" s="296"/>
      <c r="F176" s="296"/>
      <c r="G176" s="296"/>
      <c r="H176" s="297"/>
      <c r="I176" s="296"/>
      <c r="J176" s="296"/>
      <c r="K176" s="296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</row>
    <row r="177" spans="1:21">
      <c r="A177" s="295"/>
      <c r="B177" s="295"/>
      <c r="C177" s="296"/>
      <c r="D177" s="296"/>
      <c r="E177" s="296"/>
      <c r="F177" s="296"/>
      <c r="G177" s="296"/>
      <c r="H177" s="297"/>
      <c r="I177" s="296"/>
      <c r="J177" s="296"/>
      <c r="K177" s="296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</row>
    <row r="178" spans="1:21">
      <c r="A178" s="295"/>
      <c r="B178" s="295"/>
      <c r="C178" s="296"/>
      <c r="D178" s="296"/>
      <c r="E178" s="296"/>
      <c r="F178" s="296"/>
      <c r="G178" s="296"/>
      <c r="H178" s="297"/>
      <c r="I178" s="296"/>
      <c r="J178" s="296"/>
      <c r="K178" s="296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</row>
    <row r="179" spans="1:21">
      <c r="A179" s="295"/>
      <c r="B179" s="295"/>
      <c r="C179" s="296"/>
      <c r="D179" s="296"/>
      <c r="E179" s="296"/>
      <c r="F179" s="296"/>
      <c r="G179" s="296"/>
      <c r="H179" s="297"/>
      <c r="I179" s="296"/>
      <c r="J179" s="296"/>
      <c r="K179" s="296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</row>
    <row r="180" spans="1:21">
      <c r="A180" s="295"/>
      <c r="B180" s="295"/>
      <c r="C180" s="296"/>
      <c r="D180" s="296"/>
      <c r="E180" s="296"/>
      <c r="F180" s="296"/>
      <c r="G180" s="296"/>
      <c r="H180" s="297"/>
      <c r="I180" s="296"/>
      <c r="J180" s="296"/>
      <c r="K180" s="296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</row>
    <row r="181" spans="1:21">
      <c r="A181" s="295"/>
      <c r="B181" s="295"/>
      <c r="C181" s="296"/>
      <c r="D181" s="296"/>
      <c r="E181" s="296"/>
      <c r="F181" s="296"/>
      <c r="G181" s="296"/>
      <c r="H181" s="297"/>
      <c r="I181" s="296"/>
      <c r="J181" s="296"/>
      <c r="K181" s="296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</row>
    <row r="182" spans="1:21">
      <c r="A182" s="295"/>
      <c r="B182" s="295"/>
      <c r="C182" s="296"/>
      <c r="D182" s="296"/>
      <c r="E182" s="296"/>
      <c r="F182" s="296"/>
      <c r="G182" s="296"/>
      <c r="H182" s="297"/>
      <c r="I182" s="296"/>
      <c r="J182" s="296"/>
      <c r="K182" s="296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</row>
    <row r="183" spans="1:21">
      <c r="A183" s="295"/>
      <c r="B183" s="295"/>
      <c r="C183" s="296"/>
      <c r="D183" s="296"/>
      <c r="E183" s="296"/>
      <c r="F183" s="296"/>
      <c r="G183" s="296"/>
      <c r="H183" s="297"/>
      <c r="I183" s="296"/>
      <c r="J183" s="296"/>
      <c r="K183" s="296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</row>
    <row r="184" spans="1:21">
      <c r="A184" s="295"/>
      <c r="B184" s="295"/>
      <c r="C184" s="296"/>
      <c r="D184" s="296"/>
      <c r="E184" s="296"/>
      <c r="F184" s="296"/>
      <c r="G184" s="296"/>
      <c r="H184" s="297"/>
      <c r="I184" s="296"/>
      <c r="J184" s="296"/>
      <c r="K184" s="296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</row>
    <row r="185" spans="1:21">
      <c r="A185" s="295"/>
      <c r="B185" s="295"/>
      <c r="C185" s="296"/>
      <c r="D185" s="296"/>
      <c r="E185" s="296"/>
      <c r="F185" s="296"/>
      <c r="G185" s="296"/>
      <c r="H185" s="297"/>
      <c r="I185" s="296"/>
      <c r="J185" s="296"/>
      <c r="K185" s="296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</row>
    <row r="186" spans="1:21">
      <c r="A186" s="295"/>
      <c r="B186" s="295"/>
      <c r="C186" s="296"/>
      <c r="D186" s="296"/>
      <c r="E186" s="296"/>
      <c r="F186" s="296"/>
      <c r="G186" s="296"/>
      <c r="H186" s="297"/>
      <c r="I186" s="296"/>
      <c r="J186" s="296"/>
      <c r="K186" s="296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</row>
    <row r="187" spans="1:21">
      <c r="A187" s="295"/>
      <c r="B187" s="295"/>
      <c r="C187" s="296"/>
      <c r="D187" s="296"/>
      <c r="E187" s="296"/>
      <c r="F187" s="296"/>
      <c r="G187" s="296"/>
      <c r="H187" s="297"/>
      <c r="I187" s="296"/>
      <c r="J187" s="296"/>
      <c r="K187" s="296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</row>
    <row r="188" spans="1:21">
      <c r="A188" s="295"/>
      <c r="B188" s="295"/>
      <c r="C188" s="296"/>
      <c r="D188" s="296"/>
      <c r="E188" s="296"/>
      <c r="F188" s="296"/>
      <c r="G188" s="296"/>
      <c r="H188" s="297"/>
      <c r="I188" s="296"/>
      <c r="J188" s="296"/>
      <c r="K188" s="296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</row>
    <row r="189" spans="1:21">
      <c r="A189" s="295"/>
      <c r="B189" s="295"/>
      <c r="C189" s="296"/>
      <c r="D189" s="296"/>
      <c r="E189" s="296"/>
      <c r="F189" s="296"/>
      <c r="G189" s="296"/>
      <c r="H189" s="297"/>
      <c r="I189" s="296"/>
      <c r="J189" s="296"/>
      <c r="K189" s="296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</row>
    <row r="190" spans="1:21">
      <c r="A190" s="295"/>
      <c r="B190" s="295"/>
      <c r="C190" s="296"/>
      <c r="D190" s="296"/>
      <c r="E190" s="296"/>
      <c r="F190" s="296"/>
      <c r="G190" s="296"/>
      <c r="H190" s="297"/>
      <c r="I190" s="296"/>
      <c r="J190" s="296"/>
      <c r="K190" s="296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</row>
    <row r="191" spans="1:21">
      <c r="A191" s="295"/>
      <c r="B191" s="295"/>
      <c r="C191" s="296"/>
      <c r="D191" s="296"/>
      <c r="E191" s="296"/>
      <c r="F191" s="296"/>
      <c r="G191" s="296"/>
      <c r="H191" s="297"/>
      <c r="I191" s="296"/>
      <c r="J191" s="296"/>
      <c r="K191" s="296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</row>
    <row r="192" spans="1:21">
      <c r="A192" s="295"/>
      <c r="B192" s="295"/>
      <c r="C192" s="296"/>
      <c r="D192" s="296"/>
      <c r="E192" s="296"/>
      <c r="F192" s="296"/>
      <c r="G192" s="296"/>
      <c r="H192" s="297"/>
      <c r="I192" s="296"/>
      <c r="J192" s="296"/>
      <c r="K192" s="296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</row>
    <row r="193" spans="1:21">
      <c r="A193" s="295"/>
      <c r="B193" s="295"/>
      <c r="C193" s="296"/>
      <c r="D193" s="296"/>
      <c r="E193" s="296"/>
      <c r="F193" s="296"/>
      <c r="G193" s="296"/>
      <c r="H193" s="297"/>
      <c r="I193" s="296"/>
      <c r="J193" s="296"/>
      <c r="K193" s="296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</row>
    <row r="194" spans="1:21">
      <c r="A194" s="295"/>
      <c r="B194" s="295"/>
      <c r="C194" s="296"/>
      <c r="D194" s="296"/>
      <c r="E194" s="296"/>
      <c r="F194" s="296"/>
      <c r="G194" s="296"/>
      <c r="H194" s="297"/>
      <c r="I194" s="296"/>
      <c r="J194" s="296"/>
      <c r="K194" s="296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</row>
    <row r="195" spans="1:21">
      <c r="A195" s="295"/>
      <c r="B195" s="295"/>
      <c r="C195" s="296"/>
      <c r="D195" s="296"/>
      <c r="E195" s="296"/>
      <c r="F195" s="296"/>
      <c r="G195" s="296"/>
      <c r="H195" s="297"/>
      <c r="I195" s="296"/>
      <c r="J195" s="296"/>
      <c r="K195" s="296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</row>
    <row r="196" spans="1:21">
      <c r="A196" s="295"/>
      <c r="B196" s="295"/>
      <c r="C196" s="296"/>
      <c r="D196" s="296"/>
      <c r="E196" s="296"/>
      <c r="F196" s="296"/>
      <c r="G196" s="296"/>
      <c r="H196" s="297"/>
      <c r="I196" s="296"/>
      <c r="J196" s="296"/>
      <c r="K196" s="296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</row>
    <row r="197" spans="1:21">
      <c r="A197" s="295"/>
      <c r="B197" s="295"/>
      <c r="C197" s="296"/>
      <c r="D197" s="296"/>
      <c r="E197" s="296"/>
      <c r="F197" s="296"/>
      <c r="G197" s="296"/>
      <c r="H197" s="297"/>
      <c r="I197" s="296"/>
      <c r="J197" s="296"/>
      <c r="K197" s="296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</row>
    <row r="198" spans="1:21">
      <c r="A198" s="295"/>
      <c r="B198" s="295"/>
      <c r="C198" s="296"/>
      <c r="D198" s="296"/>
      <c r="E198" s="296"/>
      <c r="F198" s="296"/>
      <c r="G198" s="296"/>
      <c r="H198" s="297"/>
      <c r="I198" s="296"/>
      <c r="J198" s="296"/>
      <c r="K198" s="296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</row>
    <row r="199" spans="1:21">
      <c r="A199" s="295"/>
      <c r="B199" s="295"/>
      <c r="C199" s="296"/>
      <c r="D199" s="296"/>
      <c r="E199" s="296"/>
      <c r="F199" s="296"/>
      <c r="G199" s="296"/>
      <c r="H199" s="297"/>
      <c r="I199" s="296"/>
      <c r="J199" s="296"/>
      <c r="K199" s="296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</row>
    <row r="200" spans="1:21">
      <c r="A200" s="295"/>
      <c r="B200" s="295"/>
      <c r="C200" s="296"/>
      <c r="D200" s="296"/>
      <c r="E200" s="296"/>
      <c r="F200" s="296"/>
      <c r="G200" s="296"/>
      <c r="H200" s="297"/>
      <c r="I200" s="296"/>
      <c r="J200" s="296"/>
      <c r="K200" s="296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</row>
    <row r="201" spans="1:21">
      <c r="A201" s="295"/>
      <c r="B201" s="295"/>
      <c r="C201" s="296"/>
      <c r="D201" s="296"/>
      <c r="E201" s="296"/>
      <c r="F201" s="296"/>
      <c r="G201" s="296"/>
      <c r="H201" s="297"/>
      <c r="I201" s="296"/>
      <c r="J201" s="296"/>
      <c r="K201" s="296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</row>
    <row r="202" spans="1:21">
      <c r="A202" s="295"/>
      <c r="B202" s="295"/>
      <c r="C202" s="296"/>
      <c r="D202" s="296"/>
      <c r="E202" s="296"/>
      <c r="F202" s="296"/>
      <c r="G202" s="296"/>
      <c r="H202" s="297"/>
      <c r="I202" s="296"/>
      <c r="J202" s="296"/>
      <c r="K202" s="296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</row>
    <row r="203" spans="1:21">
      <c r="A203" s="295"/>
      <c r="B203" s="295"/>
      <c r="C203" s="296"/>
      <c r="D203" s="296"/>
      <c r="E203" s="296"/>
      <c r="F203" s="296"/>
      <c r="G203" s="296"/>
      <c r="H203" s="297"/>
      <c r="I203" s="296"/>
      <c r="J203" s="296"/>
      <c r="K203" s="296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</row>
    <row r="204" spans="1:21">
      <c r="A204" s="295"/>
      <c r="B204" s="295"/>
      <c r="C204" s="296"/>
      <c r="D204" s="296"/>
      <c r="E204" s="296"/>
      <c r="F204" s="296"/>
      <c r="G204" s="296"/>
      <c r="H204" s="297"/>
      <c r="I204" s="296"/>
      <c r="J204" s="296"/>
      <c r="K204" s="296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</row>
    <row r="205" spans="1:21">
      <c r="A205" s="295"/>
      <c r="B205" s="295"/>
      <c r="C205" s="296"/>
      <c r="D205" s="296"/>
      <c r="E205" s="296"/>
      <c r="F205" s="296"/>
      <c r="G205" s="296"/>
      <c r="H205" s="297"/>
      <c r="I205" s="296"/>
      <c r="J205" s="296"/>
      <c r="K205" s="296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</row>
    <row r="206" spans="1:21">
      <c r="A206" s="295"/>
      <c r="B206" s="295"/>
      <c r="C206" s="296"/>
      <c r="D206" s="296"/>
      <c r="E206" s="296"/>
      <c r="F206" s="296"/>
      <c r="G206" s="296"/>
      <c r="H206" s="297"/>
      <c r="I206" s="296"/>
      <c r="J206" s="296"/>
      <c r="K206" s="296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</row>
    <row r="207" spans="1:21">
      <c r="A207" s="295"/>
      <c r="B207" s="295"/>
      <c r="C207" s="296"/>
      <c r="D207" s="296"/>
      <c r="E207" s="296"/>
      <c r="F207" s="296"/>
      <c r="G207" s="296"/>
      <c r="H207" s="297"/>
      <c r="I207" s="296"/>
      <c r="J207" s="296"/>
      <c r="K207" s="296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</row>
    <row r="208" spans="1:21">
      <c r="A208" s="295"/>
      <c r="B208" s="295"/>
      <c r="C208" s="296"/>
      <c r="D208" s="296"/>
      <c r="E208" s="296"/>
      <c r="F208" s="296"/>
      <c r="G208" s="296"/>
      <c r="H208" s="297"/>
      <c r="I208" s="296"/>
      <c r="J208" s="296"/>
      <c r="K208" s="296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</row>
    <row r="209" spans="1:21">
      <c r="A209" s="295"/>
      <c r="B209" s="295"/>
      <c r="C209" s="296"/>
      <c r="D209" s="296"/>
      <c r="E209" s="296"/>
      <c r="F209" s="296"/>
      <c r="G209" s="296"/>
      <c r="H209" s="297"/>
      <c r="I209" s="296"/>
      <c r="J209" s="296"/>
      <c r="K209" s="296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</row>
    <row r="210" spans="1:21">
      <c r="A210" s="295"/>
      <c r="B210" s="295"/>
      <c r="C210" s="296"/>
      <c r="D210" s="296"/>
      <c r="E210" s="296"/>
      <c r="F210" s="296"/>
      <c r="G210" s="296"/>
      <c r="H210" s="297"/>
      <c r="I210" s="296"/>
      <c r="J210" s="296"/>
      <c r="K210" s="296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</row>
    <row r="211" spans="1:21">
      <c r="A211" s="295"/>
      <c r="B211" s="295"/>
      <c r="C211" s="296"/>
      <c r="D211" s="296"/>
      <c r="E211" s="296"/>
      <c r="F211" s="296"/>
      <c r="G211" s="296"/>
      <c r="H211" s="297"/>
      <c r="I211" s="296"/>
      <c r="J211" s="296"/>
      <c r="K211" s="296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</row>
    <row r="212" spans="1:21">
      <c r="A212" s="295"/>
      <c r="B212" s="295"/>
      <c r="C212" s="296"/>
      <c r="D212" s="296"/>
      <c r="E212" s="296"/>
      <c r="F212" s="296"/>
      <c r="G212" s="296"/>
      <c r="H212" s="297"/>
      <c r="I212" s="296"/>
      <c r="J212" s="296"/>
      <c r="K212" s="296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</row>
    <row r="213" spans="1:21">
      <c r="A213" s="295"/>
      <c r="B213" s="295"/>
      <c r="C213" s="296"/>
      <c r="D213" s="296"/>
      <c r="E213" s="296"/>
      <c r="F213" s="296"/>
      <c r="G213" s="296"/>
      <c r="H213" s="297"/>
      <c r="I213" s="296"/>
      <c r="J213" s="296"/>
      <c r="K213" s="296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</row>
    <row r="214" spans="1:21">
      <c r="A214" s="295"/>
      <c r="B214" s="295"/>
      <c r="C214" s="296"/>
      <c r="D214" s="296"/>
      <c r="E214" s="296"/>
      <c r="F214" s="296"/>
      <c r="G214" s="296"/>
      <c r="H214" s="297"/>
      <c r="I214" s="296"/>
      <c r="J214" s="296"/>
      <c r="K214" s="296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</row>
    <row r="215" spans="1:21">
      <c r="A215" s="295"/>
      <c r="B215" s="295"/>
      <c r="C215" s="296"/>
      <c r="D215" s="296"/>
      <c r="E215" s="296"/>
      <c r="F215" s="296"/>
      <c r="G215" s="296"/>
      <c r="H215" s="297"/>
      <c r="I215" s="296"/>
      <c r="J215" s="296"/>
      <c r="K215" s="296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</row>
    <row r="216" spans="1:21">
      <c r="A216" s="295"/>
      <c r="B216" s="295"/>
      <c r="C216" s="296"/>
      <c r="D216" s="296"/>
      <c r="E216" s="296"/>
      <c r="F216" s="296"/>
      <c r="G216" s="296"/>
      <c r="H216" s="297"/>
      <c r="I216" s="296"/>
      <c r="J216" s="296"/>
      <c r="K216" s="296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</row>
    <row r="217" spans="1:21">
      <c r="A217" s="295"/>
      <c r="B217" s="295"/>
      <c r="C217" s="296"/>
      <c r="D217" s="296"/>
      <c r="E217" s="296"/>
      <c r="F217" s="296"/>
      <c r="G217" s="296"/>
      <c r="H217" s="297"/>
      <c r="I217" s="296"/>
      <c r="J217" s="296"/>
      <c r="K217" s="296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</row>
    <row r="218" spans="1:21">
      <c r="A218" s="295"/>
      <c r="B218" s="295"/>
      <c r="C218" s="296"/>
      <c r="D218" s="296"/>
      <c r="E218" s="296"/>
      <c r="F218" s="296"/>
      <c r="G218" s="296"/>
      <c r="H218" s="297"/>
      <c r="I218" s="296"/>
      <c r="J218" s="296"/>
      <c r="K218" s="296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</row>
    <row r="219" spans="1:21">
      <c r="A219" s="295"/>
      <c r="B219" s="295"/>
      <c r="C219" s="296"/>
      <c r="D219" s="296"/>
      <c r="E219" s="296"/>
      <c r="F219" s="296"/>
      <c r="G219" s="296"/>
      <c r="H219" s="297"/>
      <c r="I219" s="296"/>
      <c r="J219" s="296"/>
      <c r="K219" s="296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</row>
    <row r="220" spans="1:21">
      <c r="A220" s="295"/>
      <c r="B220" s="295"/>
      <c r="C220" s="296"/>
      <c r="D220" s="296"/>
      <c r="E220" s="296"/>
      <c r="F220" s="296"/>
      <c r="G220" s="296"/>
      <c r="H220" s="297"/>
      <c r="I220" s="296"/>
      <c r="J220" s="296"/>
      <c r="K220" s="296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</row>
    <row r="221" spans="1:21">
      <c r="A221" s="295"/>
      <c r="B221" s="295"/>
      <c r="C221" s="296"/>
      <c r="D221" s="296"/>
      <c r="E221" s="296"/>
      <c r="F221" s="296"/>
      <c r="G221" s="296"/>
      <c r="H221" s="297"/>
      <c r="I221" s="296"/>
      <c r="J221" s="296"/>
      <c r="K221" s="296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</row>
    <row r="222" spans="1:21">
      <c r="A222" s="295"/>
      <c r="B222" s="295"/>
      <c r="C222" s="296"/>
      <c r="D222" s="296"/>
      <c r="E222" s="296"/>
      <c r="F222" s="296"/>
      <c r="G222" s="296"/>
      <c r="H222" s="297"/>
      <c r="I222" s="296"/>
      <c r="J222" s="296"/>
      <c r="K222" s="296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</row>
    <row r="223" spans="1:21">
      <c r="A223" s="295"/>
      <c r="B223" s="295"/>
      <c r="C223" s="296"/>
      <c r="D223" s="296"/>
      <c r="E223" s="296"/>
      <c r="F223" s="296"/>
      <c r="G223" s="296"/>
      <c r="H223" s="297"/>
      <c r="I223" s="296"/>
      <c r="J223" s="296"/>
      <c r="K223" s="296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</row>
    <row r="224" spans="1:21">
      <c r="A224" s="295"/>
      <c r="B224" s="295"/>
      <c r="C224" s="296"/>
      <c r="D224" s="296"/>
      <c r="E224" s="296"/>
      <c r="F224" s="296"/>
      <c r="G224" s="296"/>
      <c r="H224" s="297"/>
      <c r="I224" s="296"/>
      <c r="J224" s="296"/>
      <c r="K224" s="296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</row>
    <row r="225" spans="1:21">
      <c r="A225" s="295"/>
      <c r="B225" s="295"/>
      <c r="C225" s="296"/>
      <c r="D225" s="296"/>
      <c r="E225" s="296"/>
      <c r="F225" s="296"/>
      <c r="G225" s="296"/>
      <c r="H225" s="297"/>
      <c r="I225" s="296"/>
      <c r="J225" s="296"/>
      <c r="K225" s="296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</row>
    <row r="226" spans="1:21">
      <c r="A226" s="295"/>
      <c r="B226" s="295"/>
      <c r="C226" s="296"/>
      <c r="D226" s="296"/>
      <c r="E226" s="296"/>
      <c r="F226" s="296"/>
      <c r="G226" s="296"/>
      <c r="H226" s="297"/>
      <c r="I226" s="296"/>
      <c r="J226" s="296"/>
      <c r="K226" s="296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</row>
    <row r="227" spans="1:21">
      <c r="A227" s="295"/>
      <c r="B227" s="295"/>
      <c r="C227" s="296"/>
      <c r="D227" s="296"/>
      <c r="E227" s="296"/>
      <c r="F227" s="296"/>
      <c r="G227" s="296"/>
      <c r="H227" s="297"/>
      <c r="I227" s="296"/>
      <c r="J227" s="296"/>
      <c r="K227" s="296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</row>
    <row r="228" spans="1:21">
      <c r="A228" s="295"/>
      <c r="B228" s="295"/>
      <c r="C228" s="296"/>
      <c r="D228" s="296"/>
      <c r="E228" s="296"/>
      <c r="F228" s="296"/>
      <c r="G228" s="296"/>
      <c r="H228" s="297"/>
      <c r="I228" s="296"/>
      <c r="J228" s="296"/>
      <c r="K228" s="296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</row>
    <row r="229" spans="1:21">
      <c r="A229" s="295"/>
      <c r="B229" s="295"/>
      <c r="C229" s="296"/>
      <c r="D229" s="296"/>
      <c r="E229" s="296"/>
      <c r="F229" s="296"/>
      <c r="G229" s="296"/>
      <c r="H229" s="297"/>
      <c r="I229" s="296"/>
      <c r="J229" s="296"/>
      <c r="K229" s="296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</row>
    <row r="230" spans="1:21">
      <c r="A230" s="295"/>
      <c r="B230" s="295"/>
      <c r="C230" s="296"/>
      <c r="D230" s="296"/>
      <c r="E230" s="296"/>
      <c r="F230" s="296"/>
      <c r="G230" s="296"/>
      <c r="H230" s="297"/>
      <c r="I230" s="296"/>
      <c r="J230" s="296"/>
      <c r="K230" s="296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</row>
    <row r="231" spans="1:21">
      <c r="A231" s="295"/>
      <c r="B231" s="295"/>
      <c r="C231" s="296"/>
      <c r="D231" s="296"/>
      <c r="E231" s="296"/>
      <c r="F231" s="296"/>
      <c r="G231" s="296"/>
      <c r="H231" s="297"/>
      <c r="I231" s="296"/>
      <c r="J231" s="296"/>
      <c r="K231" s="296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</row>
    <row r="232" spans="1:21">
      <c r="A232" s="295"/>
      <c r="B232" s="295"/>
      <c r="C232" s="296"/>
      <c r="D232" s="296"/>
      <c r="E232" s="296"/>
      <c r="F232" s="296"/>
      <c r="G232" s="296"/>
      <c r="H232" s="297"/>
      <c r="I232" s="296"/>
      <c r="J232" s="296"/>
      <c r="K232" s="296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</row>
    <row r="233" spans="1:21">
      <c r="A233" s="295"/>
      <c r="B233" s="295"/>
      <c r="C233" s="296"/>
      <c r="D233" s="296"/>
      <c r="E233" s="296"/>
      <c r="F233" s="296"/>
      <c r="G233" s="296"/>
      <c r="H233" s="297"/>
      <c r="I233" s="296"/>
      <c r="J233" s="296"/>
      <c r="K233" s="296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</row>
    <row r="234" spans="1:21">
      <c r="A234" s="295"/>
      <c r="B234" s="295"/>
      <c r="C234" s="296"/>
      <c r="D234" s="296"/>
      <c r="E234" s="296"/>
      <c r="F234" s="296"/>
      <c r="G234" s="296"/>
      <c r="H234" s="297"/>
      <c r="I234" s="296"/>
      <c r="J234" s="296"/>
      <c r="K234" s="296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</row>
    <row r="235" spans="1:21">
      <c r="A235" s="295"/>
      <c r="B235" s="295"/>
      <c r="C235" s="296"/>
      <c r="D235" s="296"/>
      <c r="E235" s="296"/>
      <c r="F235" s="296"/>
      <c r="G235" s="296"/>
      <c r="H235" s="297"/>
      <c r="I235" s="296"/>
      <c r="J235" s="296"/>
      <c r="K235" s="296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</row>
    <row r="236" spans="1:21">
      <c r="A236" s="295"/>
      <c r="B236" s="295"/>
      <c r="C236" s="296"/>
      <c r="D236" s="296"/>
      <c r="E236" s="296"/>
      <c r="F236" s="296"/>
      <c r="G236" s="296"/>
      <c r="H236" s="297"/>
      <c r="I236" s="296"/>
      <c r="J236" s="296"/>
      <c r="K236" s="296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</row>
    <row r="237" spans="1:21">
      <c r="A237" s="295"/>
      <c r="B237" s="295"/>
      <c r="C237" s="296"/>
      <c r="D237" s="296"/>
      <c r="E237" s="296"/>
      <c r="F237" s="296"/>
      <c r="G237" s="296"/>
      <c r="H237" s="297"/>
      <c r="I237" s="296"/>
      <c r="J237" s="296"/>
      <c r="K237" s="296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</row>
    <row r="238" spans="1:21">
      <c r="A238" s="295"/>
      <c r="B238" s="295"/>
      <c r="C238" s="296"/>
      <c r="D238" s="296"/>
      <c r="E238" s="296"/>
      <c r="F238" s="296"/>
      <c r="G238" s="296"/>
      <c r="H238" s="297"/>
      <c r="I238" s="296"/>
      <c r="J238" s="296"/>
      <c r="K238" s="296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</row>
    <row r="239" spans="1:21">
      <c r="A239" s="295"/>
      <c r="B239" s="295"/>
      <c r="C239" s="296"/>
      <c r="D239" s="296"/>
      <c r="E239" s="296"/>
      <c r="F239" s="296"/>
      <c r="G239" s="296"/>
      <c r="H239" s="297"/>
      <c r="I239" s="296"/>
      <c r="J239" s="296"/>
      <c r="K239" s="296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</row>
    <row r="240" spans="1:21">
      <c r="A240" s="295"/>
      <c r="B240" s="295"/>
      <c r="C240" s="296"/>
      <c r="D240" s="296"/>
      <c r="E240" s="296"/>
      <c r="F240" s="296"/>
      <c r="G240" s="296"/>
      <c r="H240" s="297"/>
      <c r="I240" s="296"/>
      <c r="J240" s="296"/>
      <c r="K240" s="296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</row>
    <row r="241" spans="1:21">
      <c r="A241" s="295"/>
      <c r="B241" s="295"/>
      <c r="C241" s="296"/>
      <c r="D241" s="296"/>
      <c r="E241" s="296"/>
      <c r="F241" s="296"/>
      <c r="G241" s="296"/>
      <c r="H241" s="297"/>
      <c r="I241" s="296"/>
      <c r="J241" s="296"/>
      <c r="K241" s="296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</row>
    <row r="242" spans="1:21">
      <c r="A242" s="295"/>
      <c r="B242" s="295"/>
      <c r="C242" s="296"/>
      <c r="D242" s="296"/>
      <c r="E242" s="296"/>
      <c r="F242" s="296"/>
      <c r="G242" s="296"/>
      <c r="H242" s="297"/>
      <c r="I242" s="296"/>
      <c r="J242" s="296"/>
      <c r="K242" s="296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</row>
    <row r="243" spans="1:21">
      <c r="A243" s="295"/>
      <c r="B243" s="295"/>
      <c r="C243" s="296"/>
      <c r="D243" s="296"/>
      <c r="E243" s="296"/>
      <c r="F243" s="296"/>
      <c r="G243" s="296"/>
      <c r="H243" s="297"/>
      <c r="I243" s="296"/>
      <c r="J243" s="296"/>
      <c r="K243" s="296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</row>
    <row r="244" spans="1:21">
      <c r="A244" s="295"/>
      <c r="B244" s="295"/>
      <c r="C244" s="296"/>
      <c r="D244" s="296"/>
      <c r="E244" s="296"/>
      <c r="F244" s="296"/>
      <c r="G244" s="296"/>
      <c r="H244" s="297"/>
      <c r="I244" s="296"/>
      <c r="J244" s="296"/>
      <c r="K244" s="296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</row>
    <row r="245" spans="1:21">
      <c r="A245" s="295"/>
      <c r="B245" s="295"/>
      <c r="C245" s="296"/>
      <c r="D245" s="296"/>
      <c r="E245" s="296"/>
      <c r="F245" s="296"/>
      <c r="G245" s="296"/>
      <c r="H245" s="297"/>
      <c r="I245" s="296"/>
      <c r="J245" s="296"/>
      <c r="K245" s="296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</row>
    <row r="246" spans="1:21">
      <c r="A246" s="295"/>
      <c r="B246" s="295"/>
      <c r="C246" s="296"/>
      <c r="D246" s="296"/>
      <c r="E246" s="296"/>
      <c r="F246" s="296"/>
      <c r="G246" s="296"/>
      <c r="H246" s="297"/>
      <c r="I246" s="296"/>
      <c r="J246" s="296"/>
      <c r="K246" s="296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</row>
    <row r="247" spans="1:21">
      <c r="A247" s="295"/>
      <c r="B247" s="295"/>
      <c r="C247" s="296"/>
      <c r="D247" s="296"/>
      <c r="E247" s="296"/>
      <c r="F247" s="296"/>
      <c r="G247" s="296"/>
      <c r="H247" s="297"/>
      <c r="I247" s="296"/>
      <c r="J247" s="296"/>
      <c r="K247" s="296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</row>
    <row r="248" spans="1:21">
      <c r="A248" s="295"/>
      <c r="B248" s="295"/>
      <c r="C248" s="296"/>
      <c r="D248" s="296"/>
      <c r="E248" s="296"/>
      <c r="F248" s="296"/>
      <c r="G248" s="296"/>
      <c r="H248" s="297"/>
      <c r="I248" s="296"/>
      <c r="J248" s="296"/>
      <c r="K248" s="296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</row>
    <row r="249" spans="1:21">
      <c r="A249" s="295"/>
      <c r="B249" s="295"/>
      <c r="C249" s="296"/>
      <c r="D249" s="296"/>
      <c r="E249" s="296"/>
      <c r="F249" s="296"/>
      <c r="G249" s="296"/>
      <c r="H249" s="297"/>
      <c r="I249" s="296"/>
      <c r="J249" s="296"/>
      <c r="K249" s="296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</row>
    <row r="250" spans="1:21">
      <c r="A250" s="295"/>
      <c r="B250" s="295"/>
      <c r="C250" s="296"/>
      <c r="D250" s="296"/>
      <c r="E250" s="296"/>
      <c r="F250" s="296"/>
      <c r="G250" s="296"/>
      <c r="H250" s="297"/>
      <c r="I250" s="296"/>
      <c r="J250" s="296"/>
      <c r="K250" s="296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</row>
    <row r="251" spans="1:21">
      <c r="A251" s="295"/>
      <c r="B251" s="295"/>
      <c r="C251" s="296"/>
      <c r="D251" s="296"/>
      <c r="E251" s="296"/>
      <c r="F251" s="296"/>
      <c r="G251" s="296"/>
      <c r="H251" s="297"/>
      <c r="I251" s="296"/>
      <c r="J251" s="296"/>
      <c r="K251" s="296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</row>
    <row r="252" spans="1:21">
      <c r="A252" s="295"/>
      <c r="B252" s="295"/>
      <c r="C252" s="296"/>
      <c r="D252" s="296"/>
      <c r="E252" s="296"/>
      <c r="F252" s="296"/>
      <c r="G252" s="296"/>
      <c r="H252" s="297"/>
      <c r="I252" s="296"/>
      <c r="J252" s="296"/>
      <c r="K252" s="296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</row>
    <row r="253" spans="1:21">
      <c r="A253" s="295"/>
      <c r="B253" s="295"/>
      <c r="C253" s="296"/>
      <c r="D253" s="296"/>
      <c r="E253" s="296"/>
      <c r="F253" s="296"/>
      <c r="G253" s="296"/>
      <c r="H253" s="297"/>
      <c r="I253" s="296"/>
      <c r="J253" s="296"/>
      <c r="K253" s="296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</row>
    <row r="254" spans="1:21">
      <c r="A254" s="295"/>
      <c r="B254" s="295"/>
      <c r="C254" s="296"/>
      <c r="D254" s="296"/>
      <c r="E254" s="296"/>
      <c r="F254" s="296"/>
      <c r="G254" s="296"/>
      <c r="H254" s="297"/>
      <c r="I254" s="296"/>
      <c r="J254" s="296"/>
      <c r="K254" s="296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</row>
    <row r="255" spans="1:21">
      <c r="A255" s="295"/>
      <c r="B255" s="295"/>
      <c r="C255" s="296"/>
      <c r="D255" s="296"/>
      <c r="E255" s="296"/>
      <c r="F255" s="296"/>
      <c r="G255" s="296"/>
      <c r="H255" s="297"/>
      <c r="I255" s="296"/>
      <c r="J255" s="296"/>
      <c r="K255" s="296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</row>
    <row r="256" spans="1:21">
      <c r="A256" s="295"/>
      <c r="B256" s="295"/>
      <c r="C256" s="296"/>
      <c r="D256" s="296"/>
      <c r="E256" s="296"/>
      <c r="F256" s="296"/>
      <c r="G256" s="296"/>
      <c r="H256" s="297"/>
      <c r="I256" s="296"/>
      <c r="J256" s="296"/>
      <c r="K256" s="296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</row>
    <row r="257" spans="1:21">
      <c r="A257" s="295"/>
      <c r="B257" s="295"/>
      <c r="C257" s="296"/>
      <c r="D257" s="296"/>
      <c r="E257" s="296"/>
      <c r="F257" s="296"/>
      <c r="G257" s="296"/>
      <c r="H257" s="297"/>
      <c r="I257" s="296"/>
      <c r="J257" s="296"/>
      <c r="K257" s="296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</row>
    <row r="258" spans="1:21">
      <c r="A258" s="295"/>
      <c r="B258" s="295"/>
      <c r="C258" s="296"/>
      <c r="D258" s="296"/>
      <c r="E258" s="296"/>
      <c r="F258" s="296"/>
      <c r="G258" s="296"/>
      <c r="H258" s="297"/>
      <c r="I258" s="296"/>
      <c r="J258" s="296"/>
      <c r="K258" s="296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</row>
    <row r="259" spans="1:21">
      <c r="A259" s="295"/>
      <c r="B259" s="295"/>
      <c r="C259" s="296"/>
      <c r="D259" s="296"/>
      <c r="E259" s="296"/>
      <c r="F259" s="296"/>
      <c r="G259" s="296"/>
      <c r="H259" s="297"/>
      <c r="I259" s="296"/>
      <c r="J259" s="296"/>
      <c r="K259" s="296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</row>
    <row r="260" spans="1:21">
      <c r="A260" s="295"/>
      <c r="B260" s="295"/>
      <c r="C260" s="296"/>
      <c r="D260" s="296"/>
      <c r="E260" s="296"/>
      <c r="F260" s="296"/>
      <c r="G260" s="296"/>
      <c r="H260" s="297"/>
      <c r="I260" s="296"/>
      <c r="J260" s="296"/>
      <c r="K260" s="296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</row>
    <row r="261" spans="1:21">
      <c r="A261" s="295"/>
      <c r="B261" s="295"/>
      <c r="C261" s="296"/>
      <c r="D261" s="296"/>
      <c r="E261" s="296"/>
      <c r="F261" s="296"/>
      <c r="G261" s="296"/>
      <c r="H261" s="297"/>
      <c r="I261" s="296"/>
      <c r="J261" s="296"/>
      <c r="K261" s="296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</row>
    <row r="262" spans="1:21">
      <c r="A262" s="295"/>
      <c r="B262" s="295"/>
      <c r="C262" s="296"/>
      <c r="D262" s="296"/>
      <c r="E262" s="296"/>
      <c r="F262" s="296"/>
      <c r="G262" s="296"/>
      <c r="H262" s="297"/>
      <c r="I262" s="296"/>
      <c r="J262" s="296"/>
      <c r="K262" s="296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</row>
    <row r="263" spans="1:21">
      <c r="A263" s="295"/>
      <c r="B263" s="295"/>
      <c r="C263" s="296"/>
      <c r="D263" s="296"/>
      <c r="E263" s="296"/>
      <c r="F263" s="296"/>
      <c r="G263" s="296"/>
      <c r="H263" s="297"/>
      <c r="I263" s="296"/>
      <c r="J263" s="296"/>
      <c r="K263" s="296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</row>
    <row r="264" spans="1:21">
      <c r="A264" s="295"/>
      <c r="B264" s="295"/>
      <c r="C264" s="296"/>
      <c r="D264" s="296"/>
      <c r="E264" s="296"/>
      <c r="F264" s="296"/>
      <c r="G264" s="296"/>
      <c r="H264" s="297"/>
      <c r="I264" s="296"/>
      <c r="J264" s="296"/>
      <c r="K264" s="296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</row>
    <row r="265" spans="1:21">
      <c r="A265" s="295"/>
      <c r="B265" s="295"/>
      <c r="C265" s="296"/>
      <c r="D265" s="296"/>
      <c r="E265" s="296"/>
      <c r="F265" s="296"/>
      <c r="G265" s="296"/>
      <c r="H265" s="297"/>
      <c r="I265" s="296"/>
      <c r="J265" s="296"/>
      <c r="K265" s="296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</row>
    <row r="266" spans="1:21">
      <c r="A266" s="295"/>
      <c r="B266" s="295"/>
      <c r="C266" s="296"/>
      <c r="D266" s="296"/>
      <c r="E266" s="296"/>
      <c r="F266" s="296"/>
      <c r="G266" s="296"/>
      <c r="H266" s="297"/>
      <c r="I266" s="296"/>
      <c r="J266" s="296"/>
      <c r="K266" s="296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</row>
    <row r="267" spans="1:21">
      <c r="A267" s="295"/>
      <c r="B267" s="295"/>
      <c r="C267" s="296"/>
      <c r="D267" s="296"/>
      <c r="E267" s="296"/>
      <c r="F267" s="296"/>
      <c r="G267" s="296"/>
      <c r="H267" s="297"/>
      <c r="I267" s="296"/>
      <c r="J267" s="296"/>
      <c r="K267" s="296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</row>
    <row r="268" spans="1:21">
      <c r="A268" s="295"/>
      <c r="B268" s="295"/>
      <c r="C268" s="296"/>
      <c r="D268" s="296"/>
      <c r="E268" s="296"/>
      <c r="F268" s="296"/>
      <c r="G268" s="296"/>
      <c r="H268" s="297"/>
      <c r="I268" s="296"/>
      <c r="J268" s="296"/>
      <c r="K268" s="296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</row>
    <row r="269" spans="1:21">
      <c r="A269" s="295"/>
      <c r="B269" s="295"/>
      <c r="C269" s="296"/>
      <c r="D269" s="296"/>
      <c r="E269" s="296"/>
      <c r="F269" s="296"/>
      <c r="G269" s="296"/>
      <c r="H269" s="297"/>
      <c r="I269" s="296"/>
      <c r="J269" s="296"/>
      <c r="K269" s="296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</row>
    <row r="270" spans="1:21">
      <c r="A270" s="295"/>
      <c r="B270" s="295"/>
      <c r="C270" s="296"/>
      <c r="D270" s="296"/>
      <c r="E270" s="296"/>
      <c r="F270" s="296"/>
      <c r="G270" s="296"/>
      <c r="H270" s="297"/>
      <c r="I270" s="296"/>
      <c r="J270" s="296"/>
      <c r="K270" s="296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</row>
    <row r="271" spans="1:21">
      <c r="A271" s="295"/>
      <c r="B271" s="295"/>
      <c r="C271" s="296"/>
      <c r="D271" s="296"/>
      <c r="E271" s="296"/>
      <c r="F271" s="296"/>
      <c r="G271" s="296"/>
      <c r="H271" s="297"/>
      <c r="I271" s="296"/>
      <c r="J271" s="296"/>
      <c r="K271" s="296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</row>
    <row r="272" spans="1:21">
      <c r="A272" s="295"/>
      <c r="B272" s="295"/>
      <c r="C272" s="296"/>
      <c r="D272" s="296"/>
      <c r="E272" s="296"/>
      <c r="F272" s="296"/>
      <c r="G272" s="296"/>
      <c r="H272" s="297"/>
      <c r="I272" s="296"/>
      <c r="J272" s="296"/>
      <c r="K272" s="296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</row>
    <row r="273" spans="1:21">
      <c r="A273" s="295"/>
      <c r="B273" s="295"/>
      <c r="C273" s="296"/>
      <c r="D273" s="296"/>
      <c r="E273" s="296"/>
      <c r="F273" s="296"/>
      <c r="G273" s="296"/>
      <c r="H273" s="297"/>
      <c r="I273" s="296"/>
      <c r="J273" s="296"/>
      <c r="K273" s="296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</row>
    <row r="274" spans="1:21">
      <c r="A274" s="295"/>
      <c r="B274" s="295"/>
      <c r="C274" s="296"/>
      <c r="D274" s="296"/>
      <c r="E274" s="296"/>
      <c r="F274" s="296"/>
      <c r="G274" s="296"/>
      <c r="H274" s="297"/>
      <c r="I274" s="296"/>
      <c r="J274" s="296"/>
      <c r="K274" s="296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</row>
    <row r="275" spans="1:21">
      <c r="A275" s="295"/>
      <c r="B275" s="295"/>
      <c r="C275" s="296"/>
      <c r="D275" s="296"/>
      <c r="E275" s="296"/>
      <c r="F275" s="296"/>
      <c r="G275" s="296"/>
      <c r="H275" s="297"/>
      <c r="I275" s="296"/>
      <c r="J275" s="296"/>
      <c r="K275" s="296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</row>
    <row r="276" spans="1:21">
      <c r="A276" s="295"/>
      <c r="B276" s="295"/>
      <c r="C276" s="296"/>
      <c r="D276" s="296"/>
      <c r="E276" s="296"/>
      <c r="F276" s="296"/>
      <c r="G276" s="296"/>
      <c r="H276" s="297"/>
      <c r="I276" s="296"/>
      <c r="J276" s="296"/>
      <c r="K276" s="296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</row>
    <row r="277" spans="1:21">
      <c r="A277" s="295"/>
      <c r="B277" s="295"/>
      <c r="C277" s="296"/>
      <c r="D277" s="296"/>
      <c r="E277" s="296"/>
      <c r="F277" s="296"/>
      <c r="G277" s="296"/>
      <c r="H277" s="297"/>
      <c r="I277" s="296"/>
      <c r="J277" s="296"/>
      <c r="K277" s="296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</row>
    <row r="278" spans="1:21">
      <c r="A278" s="295"/>
      <c r="B278" s="295"/>
      <c r="C278" s="296"/>
      <c r="D278" s="296"/>
      <c r="E278" s="296"/>
      <c r="F278" s="296"/>
      <c r="G278" s="296"/>
      <c r="H278" s="297"/>
      <c r="I278" s="296"/>
      <c r="J278" s="296"/>
      <c r="K278" s="296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</row>
    <row r="279" spans="1:21">
      <c r="A279" s="295"/>
      <c r="B279" s="295"/>
      <c r="C279" s="296"/>
      <c r="D279" s="296"/>
      <c r="E279" s="296"/>
      <c r="F279" s="296"/>
      <c r="G279" s="296"/>
      <c r="H279" s="297"/>
      <c r="I279" s="296"/>
      <c r="J279" s="296"/>
      <c r="K279" s="296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</row>
    <row r="280" spans="1:21">
      <c r="A280" s="295"/>
      <c r="B280" s="295"/>
      <c r="C280" s="296"/>
      <c r="D280" s="296"/>
      <c r="E280" s="296"/>
      <c r="F280" s="296"/>
      <c r="G280" s="296"/>
      <c r="H280" s="297"/>
      <c r="I280" s="296"/>
      <c r="J280" s="296"/>
      <c r="K280" s="296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</row>
    <row r="281" spans="1:21">
      <c r="A281" s="295"/>
      <c r="B281" s="295"/>
      <c r="C281" s="296"/>
      <c r="D281" s="296"/>
      <c r="E281" s="296"/>
      <c r="F281" s="296"/>
      <c r="G281" s="296"/>
      <c r="H281" s="297"/>
      <c r="I281" s="296"/>
      <c r="J281" s="296"/>
      <c r="K281" s="296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</row>
    <row r="282" spans="1:21">
      <c r="A282" s="295"/>
      <c r="B282" s="295"/>
      <c r="C282" s="296"/>
      <c r="D282" s="296"/>
      <c r="E282" s="296"/>
      <c r="F282" s="296"/>
      <c r="G282" s="296"/>
      <c r="H282" s="297"/>
      <c r="I282" s="296"/>
      <c r="J282" s="296"/>
      <c r="K282" s="296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</row>
    <row r="283" spans="1:21">
      <c r="A283" s="295"/>
      <c r="B283" s="295"/>
      <c r="C283" s="296"/>
      <c r="D283" s="296"/>
      <c r="E283" s="296"/>
      <c r="F283" s="296"/>
      <c r="G283" s="296"/>
      <c r="H283" s="297"/>
      <c r="I283" s="296"/>
      <c r="J283" s="296"/>
      <c r="K283" s="296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</row>
    <row r="284" spans="1:21">
      <c r="A284" s="295"/>
      <c r="B284" s="295"/>
      <c r="C284" s="296"/>
      <c r="D284" s="296"/>
      <c r="E284" s="296"/>
      <c r="F284" s="296"/>
      <c r="G284" s="296"/>
      <c r="H284" s="297"/>
      <c r="I284" s="296"/>
      <c r="J284" s="296"/>
      <c r="K284" s="296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</row>
    <row r="285" spans="1:21">
      <c r="A285" s="295"/>
      <c r="B285" s="295"/>
      <c r="C285" s="296"/>
      <c r="D285" s="296"/>
      <c r="E285" s="296"/>
      <c r="F285" s="296"/>
      <c r="G285" s="296"/>
      <c r="H285" s="297"/>
      <c r="I285" s="296"/>
      <c r="J285" s="296"/>
      <c r="K285" s="296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</row>
    <row r="286" spans="1:21">
      <c r="A286" s="295"/>
      <c r="B286" s="295"/>
      <c r="C286" s="296"/>
      <c r="D286" s="296"/>
      <c r="E286" s="296"/>
      <c r="F286" s="296"/>
      <c r="G286" s="296"/>
      <c r="H286" s="297"/>
      <c r="I286" s="296"/>
      <c r="J286" s="296"/>
      <c r="K286" s="296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</row>
    <row r="287" spans="1:21">
      <c r="A287" s="295"/>
      <c r="B287" s="295"/>
      <c r="C287" s="296"/>
      <c r="D287" s="296"/>
      <c r="E287" s="296"/>
      <c r="F287" s="296"/>
      <c r="G287" s="296"/>
      <c r="H287" s="297"/>
      <c r="I287" s="296"/>
      <c r="J287" s="296"/>
      <c r="K287" s="296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</row>
    <row r="288" spans="1:21">
      <c r="A288" s="295"/>
      <c r="B288" s="295"/>
      <c r="C288" s="296"/>
      <c r="D288" s="296"/>
      <c r="E288" s="296"/>
      <c r="F288" s="296"/>
      <c r="G288" s="296"/>
      <c r="H288" s="297"/>
      <c r="I288" s="296"/>
      <c r="J288" s="296"/>
      <c r="K288" s="296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</row>
    <row r="289" spans="1:21">
      <c r="A289" s="295"/>
      <c r="B289" s="295"/>
      <c r="C289" s="296"/>
      <c r="D289" s="296"/>
      <c r="E289" s="296"/>
      <c r="F289" s="296"/>
      <c r="G289" s="296"/>
      <c r="H289" s="297"/>
      <c r="I289" s="296"/>
      <c r="J289" s="296"/>
      <c r="K289" s="296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</row>
    <row r="290" spans="1:21">
      <c r="A290" s="295"/>
      <c r="B290" s="295"/>
      <c r="C290" s="296"/>
      <c r="D290" s="296"/>
      <c r="E290" s="296"/>
      <c r="F290" s="296"/>
      <c r="G290" s="296"/>
      <c r="H290" s="297"/>
      <c r="I290" s="296"/>
      <c r="J290" s="296"/>
      <c r="K290" s="296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</row>
    <row r="291" spans="1:21">
      <c r="A291" s="295"/>
      <c r="B291" s="295"/>
      <c r="C291" s="296"/>
      <c r="D291" s="296"/>
      <c r="E291" s="296"/>
      <c r="F291" s="296"/>
      <c r="G291" s="296"/>
      <c r="H291" s="297"/>
      <c r="I291" s="296"/>
      <c r="J291" s="296"/>
      <c r="K291" s="296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</row>
    <row r="292" spans="1:21">
      <c r="A292" s="295"/>
      <c r="B292" s="295"/>
      <c r="C292" s="296"/>
      <c r="D292" s="296"/>
      <c r="E292" s="296"/>
      <c r="F292" s="296"/>
      <c r="G292" s="296"/>
      <c r="H292" s="297"/>
      <c r="I292" s="296"/>
      <c r="J292" s="296"/>
      <c r="K292" s="296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</row>
    <row r="293" spans="1:21">
      <c r="A293" s="295"/>
      <c r="B293" s="295"/>
      <c r="C293" s="296"/>
      <c r="D293" s="296"/>
      <c r="E293" s="296"/>
      <c r="F293" s="296"/>
      <c r="G293" s="296"/>
      <c r="H293" s="297"/>
      <c r="I293" s="296"/>
      <c r="J293" s="296"/>
      <c r="K293" s="296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</row>
    <row r="294" spans="1:21">
      <c r="A294" s="295"/>
      <c r="B294" s="295"/>
      <c r="C294" s="296"/>
      <c r="D294" s="296"/>
      <c r="E294" s="296"/>
      <c r="F294" s="296"/>
      <c r="G294" s="296"/>
      <c r="H294" s="297"/>
      <c r="I294" s="296"/>
      <c r="J294" s="296"/>
      <c r="K294" s="296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</row>
    <row r="295" spans="1:21">
      <c r="A295" s="295"/>
      <c r="B295" s="295"/>
      <c r="C295" s="296"/>
      <c r="D295" s="296"/>
      <c r="E295" s="296"/>
      <c r="F295" s="296"/>
      <c r="G295" s="296"/>
      <c r="H295" s="297"/>
      <c r="I295" s="296"/>
      <c r="J295" s="296"/>
      <c r="K295" s="296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</row>
    <row r="296" spans="1:21">
      <c r="A296" s="295"/>
      <c r="B296" s="295"/>
      <c r="C296" s="296"/>
      <c r="D296" s="296"/>
      <c r="E296" s="296"/>
      <c r="F296" s="296"/>
      <c r="G296" s="296"/>
      <c r="H296" s="297"/>
      <c r="I296" s="296"/>
      <c r="J296" s="296"/>
      <c r="K296" s="296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</row>
    <row r="297" spans="1:21">
      <c r="A297" s="295"/>
      <c r="B297" s="295"/>
      <c r="C297" s="296"/>
      <c r="D297" s="296"/>
      <c r="E297" s="296"/>
      <c r="F297" s="296"/>
      <c r="G297" s="296"/>
      <c r="H297" s="297"/>
      <c r="I297" s="296"/>
      <c r="J297" s="296"/>
      <c r="K297" s="296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</row>
    <row r="298" spans="1:21">
      <c r="A298" s="295"/>
      <c r="B298" s="295"/>
      <c r="C298" s="296"/>
      <c r="D298" s="296"/>
      <c r="E298" s="296"/>
      <c r="F298" s="296"/>
      <c r="G298" s="296"/>
      <c r="H298" s="297"/>
      <c r="I298" s="296"/>
      <c r="J298" s="296"/>
      <c r="K298" s="296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</row>
    <row r="299" spans="1:21">
      <c r="A299" s="295"/>
      <c r="B299" s="295"/>
      <c r="C299" s="296"/>
      <c r="D299" s="296"/>
      <c r="E299" s="296"/>
      <c r="F299" s="296"/>
      <c r="G299" s="296"/>
      <c r="H299" s="297"/>
      <c r="I299" s="296"/>
      <c r="J299" s="296"/>
      <c r="K299" s="296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</row>
    <row r="300" spans="1:21">
      <c r="A300" s="295"/>
      <c r="B300" s="295"/>
      <c r="C300" s="296"/>
      <c r="D300" s="296"/>
      <c r="E300" s="296"/>
      <c r="F300" s="296"/>
      <c r="G300" s="296"/>
      <c r="H300" s="297"/>
      <c r="I300" s="296"/>
      <c r="J300" s="296"/>
      <c r="K300" s="296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</row>
    <row r="301" spans="1:21">
      <c r="A301" s="295"/>
      <c r="B301" s="295"/>
      <c r="C301" s="296"/>
      <c r="D301" s="296"/>
      <c r="E301" s="296"/>
      <c r="F301" s="296"/>
      <c r="G301" s="296"/>
      <c r="H301" s="297"/>
      <c r="I301" s="296"/>
      <c r="J301" s="296"/>
      <c r="K301" s="296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</row>
    <row r="302" spans="1:21">
      <c r="A302" s="295"/>
      <c r="B302" s="295"/>
      <c r="C302" s="296"/>
      <c r="D302" s="296"/>
      <c r="E302" s="296"/>
      <c r="F302" s="296"/>
      <c r="G302" s="296"/>
      <c r="H302" s="297"/>
      <c r="I302" s="296"/>
      <c r="J302" s="296"/>
      <c r="K302" s="296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</row>
    <row r="303" spans="1:21">
      <c r="A303" s="295"/>
      <c r="B303" s="295"/>
      <c r="C303" s="296"/>
      <c r="D303" s="296"/>
      <c r="E303" s="296"/>
      <c r="F303" s="296"/>
      <c r="G303" s="296"/>
      <c r="H303" s="297"/>
      <c r="I303" s="296"/>
      <c r="J303" s="296"/>
      <c r="K303" s="296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</row>
    <row r="304" spans="1:21">
      <c r="A304" s="295"/>
      <c r="B304" s="295"/>
      <c r="C304" s="296"/>
      <c r="D304" s="296"/>
      <c r="E304" s="296"/>
      <c r="F304" s="296"/>
      <c r="G304" s="296"/>
      <c r="H304" s="297"/>
      <c r="I304" s="296"/>
      <c r="J304" s="296"/>
      <c r="K304" s="296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</row>
    <row r="305" spans="1:21">
      <c r="A305" s="295"/>
      <c r="B305" s="295"/>
      <c r="C305" s="296"/>
      <c r="D305" s="296"/>
      <c r="E305" s="296"/>
      <c r="F305" s="296"/>
      <c r="G305" s="296"/>
      <c r="H305" s="297"/>
      <c r="I305" s="296"/>
      <c r="J305" s="296"/>
      <c r="K305" s="296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</row>
    <row r="306" spans="1:21">
      <c r="A306" s="295"/>
      <c r="B306" s="295"/>
      <c r="C306" s="296"/>
      <c r="D306" s="296"/>
      <c r="E306" s="296"/>
      <c r="F306" s="296"/>
      <c r="G306" s="296"/>
      <c r="H306" s="297"/>
      <c r="I306" s="296"/>
      <c r="J306" s="296"/>
      <c r="K306" s="296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</row>
    <row r="307" spans="1:21">
      <c r="A307" s="295"/>
      <c r="B307" s="295"/>
      <c r="C307" s="296"/>
      <c r="D307" s="296"/>
      <c r="E307" s="296"/>
      <c r="F307" s="296"/>
      <c r="G307" s="296"/>
      <c r="H307" s="297"/>
      <c r="I307" s="296"/>
      <c r="J307" s="296"/>
      <c r="K307" s="296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</row>
    <row r="308" spans="1:21">
      <c r="A308" s="295"/>
      <c r="B308" s="295"/>
      <c r="C308" s="296"/>
      <c r="D308" s="296"/>
      <c r="E308" s="296"/>
      <c r="F308" s="296"/>
      <c r="G308" s="296"/>
      <c r="H308" s="297"/>
      <c r="I308" s="296"/>
      <c r="J308" s="296"/>
      <c r="K308" s="296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</row>
    <row r="309" spans="1:21">
      <c r="A309" s="295"/>
      <c r="B309" s="295"/>
      <c r="C309" s="296"/>
      <c r="D309" s="296"/>
      <c r="E309" s="296"/>
      <c r="F309" s="296"/>
      <c r="G309" s="296"/>
      <c r="H309" s="297"/>
      <c r="I309" s="296"/>
      <c r="J309" s="296"/>
      <c r="K309" s="296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</row>
    <row r="310" spans="1:21">
      <c r="A310" s="295"/>
      <c r="B310" s="295"/>
      <c r="C310" s="296"/>
      <c r="D310" s="296"/>
      <c r="E310" s="296"/>
      <c r="F310" s="296"/>
      <c r="G310" s="296"/>
      <c r="H310" s="297"/>
      <c r="I310" s="296"/>
      <c r="J310" s="296"/>
      <c r="K310" s="296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</row>
    <row r="311" spans="1:21">
      <c r="A311" s="295"/>
      <c r="B311" s="295"/>
      <c r="C311" s="296"/>
      <c r="D311" s="296"/>
      <c r="E311" s="296"/>
      <c r="F311" s="296"/>
      <c r="G311" s="296"/>
      <c r="H311" s="297"/>
      <c r="I311" s="296"/>
      <c r="J311" s="296"/>
      <c r="K311" s="296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</row>
    <row r="312" spans="1:21">
      <c r="A312" s="295"/>
      <c r="B312" s="295"/>
      <c r="C312" s="296"/>
      <c r="D312" s="296"/>
      <c r="E312" s="296"/>
      <c r="F312" s="296"/>
      <c r="G312" s="296"/>
      <c r="H312" s="297"/>
      <c r="I312" s="296"/>
      <c r="J312" s="296"/>
      <c r="K312" s="296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</row>
    <row r="313" spans="1:21">
      <c r="A313" s="295"/>
      <c r="B313" s="295"/>
      <c r="C313" s="296"/>
      <c r="D313" s="296"/>
      <c r="E313" s="296"/>
      <c r="F313" s="296"/>
      <c r="G313" s="296"/>
      <c r="H313" s="297"/>
      <c r="I313" s="296"/>
      <c r="J313" s="296"/>
      <c r="K313" s="296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</row>
    <row r="314" spans="1:21">
      <c r="A314" s="295"/>
      <c r="B314" s="295"/>
      <c r="C314" s="296"/>
      <c r="D314" s="296"/>
      <c r="E314" s="296"/>
      <c r="F314" s="296"/>
      <c r="G314" s="296"/>
      <c r="H314" s="297"/>
      <c r="I314" s="296"/>
      <c r="J314" s="296"/>
      <c r="K314" s="296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</row>
    <row r="315" spans="1:21">
      <c r="A315" s="295"/>
      <c r="B315" s="295"/>
      <c r="C315" s="296"/>
      <c r="D315" s="296"/>
      <c r="E315" s="296"/>
      <c r="F315" s="296"/>
      <c r="G315" s="296"/>
      <c r="H315" s="297"/>
      <c r="I315" s="296"/>
      <c r="J315" s="296"/>
      <c r="K315" s="296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</row>
    <row r="316" spans="1:21">
      <c r="A316" s="295"/>
      <c r="B316" s="295"/>
      <c r="C316" s="296"/>
      <c r="D316" s="296"/>
      <c r="E316" s="296"/>
      <c r="F316" s="296"/>
      <c r="G316" s="296"/>
      <c r="H316" s="297"/>
      <c r="I316" s="296"/>
      <c r="J316" s="296"/>
      <c r="K316" s="296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</row>
    <row r="317" spans="1:21">
      <c r="A317" s="295"/>
      <c r="B317" s="295"/>
      <c r="C317" s="296"/>
      <c r="D317" s="296"/>
      <c r="E317" s="296"/>
      <c r="F317" s="296"/>
      <c r="G317" s="296"/>
      <c r="H317" s="297"/>
      <c r="I317" s="296"/>
      <c r="J317" s="296"/>
      <c r="K317" s="296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</row>
    <row r="318" spans="1:21">
      <c r="A318" s="295"/>
      <c r="B318" s="295"/>
      <c r="C318" s="296"/>
      <c r="D318" s="296"/>
      <c r="E318" s="296"/>
      <c r="F318" s="296"/>
      <c r="G318" s="296"/>
      <c r="H318" s="297"/>
      <c r="I318" s="296"/>
      <c r="J318" s="296"/>
      <c r="K318" s="296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</row>
    <row r="319" spans="1:21">
      <c r="A319" s="295"/>
      <c r="B319" s="295"/>
      <c r="C319" s="296"/>
      <c r="D319" s="296"/>
      <c r="E319" s="296"/>
      <c r="F319" s="296"/>
      <c r="G319" s="296"/>
      <c r="H319" s="297"/>
      <c r="I319" s="296"/>
      <c r="J319" s="296"/>
      <c r="K319" s="296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</row>
    <row r="320" spans="1:21">
      <c r="A320" s="295"/>
      <c r="B320" s="295"/>
      <c r="C320" s="296"/>
      <c r="D320" s="296"/>
      <c r="E320" s="296"/>
      <c r="F320" s="296"/>
      <c r="G320" s="296"/>
      <c r="H320" s="297"/>
      <c r="I320" s="296"/>
      <c r="J320" s="296"/>
      <c r="K320" s="296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</row>
    <row r="321" spans="1:21">
      <c r="A321" s="295"/>
      <c r="B321" s="295"/>
      <c r="C321" s="296"/>
      <c r="D321" s="296"/>
      <c r="E321" s="296"/>
      <c r="F321" s="296"/>
      <c r="G321" s="296"/>
      <c r="H321" s="297"/>
      <c r="I321" s="296"/>
      <c r="J321" s="296"/>
      <c r="K321" s="296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</row>
    <row r="322" spans="1:21">
      <c r="A322" s="295"/>
      <c r="B322" s="295"/>
      <c r="C322" s="296"/>
      <c r="D322" s="296"/>
      <c r="E322" s="296"/>
      <c r="F322" s="296"/>
      <c r="G322" s="296"/>
      <c r="H322" s="297"/>
      <c r="I322" s="296"/>
      <c r="J322" s="296"/>
      <c r="K322" s="296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</row>
    <row r="323" spans="1:21">
      <c r="A323" s="295"/>
      <c r="B323" s="295"/>
      <c r="C323" s="296"/>
      <c r="D323" s="296"/>
      <c r="E323" s="296"/>
      <c r="F323" s="296"/>
      <c r="G323" s="296"/>
      <c r="H323" s="297"/>
      <c r="I323" s="296"/>
      <c r="J323" s="296"/>
      <c r="K323" s="296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</row>
    <row r="324" spans="1:21">
      <c r="A324" s="295"/>
      <c r="B324" s="295"/>
      <c r="C324" s="296"/>
      <c r="D324" s="296"/>
      <c r="E324" s="296"/>
      <c r="F324" s="296"/>
      <c r="G324" s="296"/>
      <c r="H324" s="297"/>
      <c r="I324" s="296"/>
      <c r="J324" s="296"/>
      <c r="K324" s="296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</row>
    <row r="325" spans="1:21">
      <c r="A325" s="295"/>
      <c r="B325" s="295"/>
      <c r="C325" s="296"/>
      <c r="D325" s="296"/>
      <c r="E325" s="296"/>
      <c r="F325" s="296"/>
      <c r="G325" s="296"/>
      <c r="H325" s="297"/>
      <c r="I325" s="296"/>
      <c r="J325" s="296"/>
      <c r="K325" s="296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</row>
    <row r="326" spans="1:21">
      <c r="A326" s="295"/>
      <c r="B326" s="295"/>
      <c r="C326" s="296"/>
      <c r="D326" s="296"/>
      <c r="E326" s="296"/>
      <c r="F326" s="296"/>
      <c r="G326" s="296"/>
      <c r="H326" s="297"/>
      <c r="I326" s="296"/>
      <c r="J326" s="296"/>
      <c r="K326" s="296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</row>
    <row r="327" spans="1:21">
      <c r="A327" s="295"/>
      <c r="B327" s="295"/>
      <c r="C327" s="296"/>
      <c r="D327" s="296"/>
      <c r="E327" s="296"/>
      <c r="F327" s="296"/>
      <c r="G327" s="296"/>
      <c r="H327" s="297"/>
      <c r="I327" s="296"/>
      <c r="J327" s="296"/>
      <c r="K327" s="296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</row>
    <row r="328" spans="1:21">
      <c r="A328" s="295"/>
      <c r="B328" s="295"/>
      <c r="C328" s="296"/>
      <c r="D328" s="296"/>
      <c r="E328" s="296"/>
      <c r="F328" s="296"/>
      <c r="G328" s="296"/>
      <c r="H328" s="297"/>
      <c r="I328" s="296"/>
      <c r="J328" s="296"/>
      <c r="K328" s="296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</row>
    <row r="329" spans="1:21">
      <c r="A329" s="295"/>
      <c r="B329" s="295"/>
      <c r="C329" s="296"/>
      <c r="D329" s="296"/>
      <c r="E329" s="296"/>
      <c r="F329" s="296"/>
      <c r="G329" s="296"/>
      <c r="H329" s="297"/>
      <c r="I329" s="296"/>
      <c r="J329" s="296"/>
      <c r="K329" s="296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</row>
    <row r="330" spans="1:21">
      <c r="A330" s="295"/>
      <c r="B330" s="295"/>
      <c r="C330" s="296"/>
      <c r="D330" s="296"/>
      <c r="E330" s="296"/>
      <c r="F330" s="296"/>
      <c r="G330" s="296"/>
      <c r="H330" s="297"/>
      <c r="I330" s="296"/>
      <c r="J330" s="296"/>
      <c r="K330" s="296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</row>
    <row r="331" spans="1:21">
      <c r="A331" s="295"/>
      <c r="B331" s="295"/>
      <c r="C331" s="296"/>
      <c r="D331" s="296"/>
      <c r="E331" s="296"/>
      <c r="F331" s="296"/>
      <c r="G331" s="296"/>
      <c r="H331" s="297"/>
      <c r="I331" s="296"/>
      <c r="J331" s="296"/>
      <c r="K331" s="296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</row>
    <row r="332" spans="1:21">
      <c r="A332" s="295"/>
      <c r="B332" s="295"/>
      <c r="C332" s="296"/>
      <c r="D332" s="296"/>
      <c r="E332" s="296"/>
      <c r="F332" s="296"/>
      <c r="G332" s="296"/>
      <c r="H332" s="297"/>
      <c r="I332" s="296"/>
      <c r="J332" s="296"/>
      <c r="K332" s="296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</row>
    <row r="333" spans="1:21">
      <c r="A333" s="295"/>
      <c r="B333" s="295"/>
      <c r="C333" s="296"/>
      <c r="D333" s="296"/>
      <c r="E333" s="296"/>
      <c r="F333" s="296"/>
      <c r="G333" s="296"/>
      <c r="H333" s="297"/>
      <c r="I333" s="296"/>
      <c r="J333" s="296"/>
      <c r="K333" s="296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</row>
    <row r="334" spans="1:21">
      <c r="A334" s="295"/>
      <c r="B334" s="295"/>
      <c r="C334" s="296"/>
      <c r="D334" s="296"/>
      <c r="E334" s="296"/>
      <c r="F334" s="296"/>
      <c r="G334" s="296"/>
      <c r="H334" s="297"/>
      <c r="I334" s="296"/>
      <c r="J334" s="296"/>
      <c r="K334" s="296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</row>
    <row r="335" spans="1:21">
      <c r="A335" s="295"/>
      <c r="B335" s="295"/>
      <c r="C335" s="296"/>
      <c r="D335" s="296"/>
      <c r="E335" s="296"/>
      <c r="F335" s="296"/>
      <c r="G335" s="296"/>
      <c r="H335" s="297"/>
      <c r="I335" s="296"/>
      <c r="J335" s="296"/>
      <c r="K335" s="296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</row>
    <row r="336" spans="1:21">
      <c r="A336" s="295"/>
      <c r="B336" s="295"/>
      <c r="C336" s="296"/>
      <c r="D336" s="296"/>
      <c r="E336" s="296"/>
      <c r="F336" s="296"/>
      <c r="G336" s="296"/>
      <c r="H336" s="297"/>
      <c r="I336" s="296"/>
      <c r="J336" s="296"/>
      <c r="K336" s="296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</row>
    <row r="337" spans="1:21">
      <c r="A337" s="295"/>
      <c r="B337" s="295"/>
      <c r="C337" s="296"/>
      <c r="D337" s="296"/>
      <c r="E337" s="296"/>
      <c r="F337" s="296"/>
      <c r="G337" s="296"/>
      <c r="H337" s="297"/>
      <c r="I337" s="296"/>
      <c r="J337" s="296"/>
      <c r="K337" s="296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</row>
    <row r="338" spans="1:21">
      <c r="A338" s="295"/>
      <c r="B338" s="295"/>
      <c r="C338" s="296"/>
      <c r="D338" s="296"/>
      <c r="E338" s="296"/>
      <c r="F338" s="296"/>
      <c r="G338" s="296"/>
      <c r="H338" s="297"/>
      <c r="I338" s="296"/>
      <c r="J338" s="296"/>
      <c r="K338" s="296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</row>
    <row r="339" spans="1:21">
      <c r="A339" s="295"/>
      <c r="B339" s="295"/>
      <c r="C339" s="296"/>
      <c r="D339" s="296"/>
      <c r="E339" s="296"/>
      <c r="F339" s="296"/>
      <c r="G339" s="296"/>
      <c r="H339" s="297"/>
      <c r="I339" s="296"/>
      <c r="J339" s="296"/>
      <c r="K339" s="296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</row>
    <row r="340" spans="1:21">
      <c r="A340" s="295"/>
      <c r="B340" s="295"/>
      <c r="C340" s="296"/>
      <c r="D340" s="296"/>
      <c r="E340" s="296"/>
      <c r="F340" s="296"/>
      <c r="G340" s="296"/>
      <c r="H340" s="297"/>
      <c r="I340" s="296"/>
      <c r="J340" s="296"/>
      <c r="K340" s="296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</row>
    <row r="341" spans="1:21">
      <c r="A341" s="295"/>
      <c r="B341" s="295"/>
      <c r="C341" s="296"/>
      <c r="D341" s="296"/>
      <c r="E341" s="296"/>
      <c r="F341" s="296"/>
      <c r="G341" s="296"/>
      <c r="H341" s="297"/>
      <c r="I341" s="296"/>
      <c r="J341" s="296"/>
      <c r="K341" s="296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</row>
    <row r="342" spans="1:21">
      <c r="A342" s="295"/>
      <c r="B342" s="295"/>
      <c r="C342" s="296"/>
      <c r="D342" s="296"/>
      <c r="E342" s="296"/>
      <c r="F342" s="296"/>
      <c r="G342" s="296"/>
      <c r="H342" s="297"/>
      <c r="I342" s="296"/>
      <c r="J342" s="296"/>
      <c r="K342" s="296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</row>
    <row r="343" spans="1:21">
      <c r="A343" s="295"/>
      <c r="B343" s="295"/>
      <c r="C343" s="296"/>
      <c r="D343" s="296"/>
      <c r="E343" s="296"/>
      <c r="F343" s="296"/>
      <c r="G343" s="296"/>
      <c r="H343" s="297"/>
      <c r="I343" s="296"/>
      <c r="J343" s="296"/>
      <c r="K343" s="296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</row>
    <row r="344" spans="1:21">
      <c r="A344" s="295"/>
      <c r="B344" s="295"/>
      <c r="C344" s="296"/>
      <c r="D344" s="296"/>
      <c r="E344" s="296"/>
      <c r="F344" s="296"/>
      <c r="G344" s="296"/>
      <c r="H344" s="297"/>
      <c r="I344" s="296"/>
      <c r="J344" s="296"/>
      <c r="K344" s="296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</row>
    <row r="345" spans="1:21">
      <c r="A345" s="295"/>
      <c r="B345" s="295"/>
      <c r="C345" s="296"/>
      <c r="D345" s="296"/>
      <c r="E345" s="296"/>
      <c r="F345" s="296"/>
      <c r="G345" s="296"/>
      <c r="H345" s="297"/>
      <c r="I345" s="296"/>
      <c r="J345" s="296"/>
      <c r="K345" s="296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</row>
    <row r="346" spans="1:21">
      <c r="A346" s="295"/>
      <c r="B346" s="295"/>
      <c r="C346" s="296"/>
      <c r="D346" s="296"/>
      <c r="E346" s="296"/>
      <c r="F346" s="296"/>
      <c r="G346" s="296"/>
      <c r="H346" s="297"/>
      <c r="I346" s="296"/>
      <c r="J346" s="296"/>
      <c r="K346" s="296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</row>
    <row r="347" spans="1:21">
      <c r="A347" s="295"/>
      <c r="B347" s="295"/>
      <c r="C347" s="296"/>
      <c r="D347" s="296"/>
      <c r="E347" s="296"/>
      <c r="F347" s="296"/>
      <c r="G347" s="296"/>
      <c r="H347" s="297"/>
      <c r="I347" s="296"/>
      <c r="J347" s="296"/>
      <c r="K347" s="296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</row>
    <row r="348" spans="1:21">
      <c r="A348" s="295"/>
      <c r="B348" s="295"/>
      <c r="C348" s="296"/>
      <c r="D348" s="296"/>
      <c r="E348" s="296"/>
      <c r="F348" s="296"/>
      <c r="G348" s="296"/>
      <c r="H348" s="297"/>
      <c r="I348" s="296"/>
      <c r="J348" s="296"/>
      <c r="K348" s="296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</row>
    <row r="349" spans="1:21">
      <c r="A349" s="295"/>
      <c r="B349" s="295"/>
      <c r="C349" s="296"/>
      <c r="D349" s="296"/>
      <c r="E349" s="296"/>
      <c r="F349" s="296"/>
      <c r="G349" s="296"/>
      <c r="H349" s="297"/>
      <c r="I349" s="296"/>
      <c r="J349" s="296"/>
      <c r="K349" s="296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</row>
    <row r="350" spans="1:21">
      <c r="A350" s="295"/>
      <c r="B350" s="295"/>
      <c r="C350" s="296"/>
      <c r="D350" s="296"/>
      <c r="E350" s="296"/>
      <c r="F350" s="296"/>
      <c r="G350" s="296"/>
      <c r="H350" s="297"/>
      <c r="I350" s="296"/>
      <c r="J350" s="296"/>
      <c r="K350" s="296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</row>
    <row r="351" spans="1:21">
      <c r="A351" s="295"/>
      <c r="B351" s="295"/>
      <c r="C351" s="296"/>
      <c r="D351" s="296"/>
      <c r="E351" s="296"/>
      <c r="F351" s="296"/>
      <c r="G351" s="296"/>
      <c r="H351" s="297"/>
      <c r="I351" s="296"/>
      <c r="J351" s="296"/>
      <c r="K351" s="296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</row>
    <row r="352" spans="1:21">
      <c r="A352" s="295"/>
      <c r="B352" s="295"/>
      <c r="C352" s="296"/>
      <c r="D352" s="296"/>
      <c r="E352" s="296"/>
      <c r="F352" s="296"/>
      <c r="G352" s="296"/>
      <c r="H352" s="297"/>
      <c r="I352" s="296"/>
      <c r="J352" s="296"/>
      <c r="K352" s="296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</row>
    <row r="353" spans="1:21">
      <c r="A353" s="295"/>
      <c r="B353" s="295"/>
      <c r="C353" s="296"/>
      <c r="D353" s="296"/>
      <c r="E353" s="296"/>
      <c r="F353" s="296"/>
      <c r="G353" s="296"/>
      <c r="H353" s="297"/>
      <c r="I353" s="296"/>
      <c r="J353" s="296"/>
      <c r="K353" s="296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</row>
    <row r="354" spans="1:21">
      <c r="A354" s="295"/>
      <c r="B354" s="295"/>
      <c r="C354" s="296"/>
      <c r="D354" s="296"/>
      <c r="E354" s="296"/>
      <c r="F354" s="296"/>
      <c r="G354" s="296"/>
      <c r="H354" s="297"/>
      <c r="I354" s="296"/>
      <c r="J354" s="296"/>
      <c r="K354" s="296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</row>
    <row r="355" spans="1:21">
      <c r="A355" s="295"/>
      <c r="B355" s="295"/>
      <c r="C355" s="296"/>
      <c r="D355" s="296"/>
      <c r="E355" s="296"/>
      <c r="F355" s="296"/>
      <c r="G355" s="296"/>
      <c r="H355" s="297"/>
      <c r="I355" s="296"/>
      <c r="J355" s="296"/>
      <c r="K355" s="296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</row>
    <row r="356" spans="1:21">
      <c r="A356" s="295"/>
      <c r="B356" s="295"/>
      <c r="C356" s="296"/>
      <c r="D356" s="296"/>
      <c r="E356" s="296"/>
      <c r="F356" s="296"/>
      <c r="G356" s="296"/>
      <c r="H356" s="297"/>
      <c r="I356" s="296"/>
      <c r="J356" s="296"/>
      <c r="K356" s="296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</row>
    <row r="357" spans="1:21">
      <c r="A357" s="295"/>
      <c r="B357" s="295"/>
      <c r="C357" s="296"/>
      <c r="D357" s="296"/>
      <c r="E357" s="296"/>
      <c r="F357" s="296"/>
      <c r="G357" s="296"/>
      <c r="H357" s="297"/>
      <c r="I357" s="296"/>
      <c r="J357" s="296"/>
      <c r="K357" s="296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</row>
    <row r="358" spans="1:21">
      <c r="A358" s="295"/>
      <c r="B358" s="295"/>
      <c r="C358" s="296"/>
      <c r="D358" s="296"/>
      <c r="E358" s="296"/>
      <c r="F358" s="296"/>
      <c r="G358" s="296"/>
      <c r="H358" s="297"/>
      <c r="I358" s="296"/>
      <c r="J358" s="296"/>
      <c r="K358" s="296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</row>
    <row r="359" spans="1:21">
      <c r="A359" s="295"/>
      <c r="B359" s="295"/>
      <c r="C359" s="296"/>
      <c r="D359" s="296"/>
      <c r="E359" s="296"/>
      <c r="F359" s="296"/>
      <c r="G359" s="296"/>
      <c r="H359" s="297"/>
      <c r="I359" s="296"/>
      <c r="J359" s="296"/>
      <c r="K359" s="296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</row>
    <row r="360" spans="1:21">
      <c r="A360" s="295"/>
      <c r="B360" s="295"/>
      <c r="C360" s="296"/>
      <c r="D360" s="296"/>
      <c r="E360" s="296"/>
      <c r="F360" s="296"/>
      <c r="G360" s="296"/>
      <c r="H360" s="297"/>
      <c r="I360" s="296"/>
      <c r="J360" s="296"/>
      <c r="K360" s="296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</row>
    <row r="361" spans="1:21">
      <c r="A361" s="295"/>
      <c r="B361" s="295"/>
      <c r="C361" s="296"/>
      <c r="D361" s="296"/>
      <c r="E361" s="296"/>
      <c r="F361" s="296"/>
      <c r="G361" s="296"/>
      <c r="H361" s="297"/>
      <c r="I361" s="296"/>
      <c r="J361" s="296"/>
      <c r="K361" s="296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</row>
    <row r="362" spans="1:21">
      <c r="A362" s="295"/>
      <c r="B362" s="295"/>
      <c r="C362" s="296"/>
      <c r="D362" s="296"/>
      <c r="E362" s="296"/>
      <c r="F362" s="296"/>
      <c r="G362" s="296"/>
      <c r="H362" s="297"/>
      <c r="I362" s="296"/>
      <c r="J362" s="296"/>
      <c r="K362" s="296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</row>
    <row r="363" spans="1:21">
      <c r="A363" s="295"/>
      <c r="B363" s="295"/>
      <c r="C363" s="296"/>
      <c r="D363" s="296"/>
      <c r="E363" s="296"/>
      <c r="F363" s="296"/>
      <c r="G363" s="296"/>
      <c r="H363" s="297"/>
      <c r="I363" s="296"/>
      <c r="J363" s="296"/>
      <c r="K363" s="296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</row>
    <row r="364" spans="1:21">
      <c r="A364" s="295"/>
      <c r="B364" s="295"/>
      <c r="C364" s="296"/>
      <c r="D364" s="296"/>
      <c r="E364" s="296"/>
      <c r="F364" s="296"/>
      <c r="G364" s="296"/>
      <c r="H364" s="297"/>
      <c r="I364" s="296"/>
      <c r="J364" s="296"/>
      <c r="K364" s="296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</row>
    <row r="365" spans="1:21">
      <c r="A365" s="295"/>
      <c r="B365" s="295"/>
      <c r="C365" s="296"/>
      <c r="D365" s="296"/>
      <c r="E365" s="296"/>
      <c r="F365" s="296"/>
      <c r="G365" s="296"/>
      <c r="H365" s="297"/>
      <c r="I365" s="296"/>
      <c r="J365" s="296"/>
      <c r="K365" s="296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</row>
    <row r="366" spans="1:21">
      <c r="A366" s="295"/>
      <c r="B366" s="295"/>
      <c r="C366" s="296"/>
      <c r="D366" s="296"/>
      <c r="E366" s="296"/>
      <c r="F366" s="296"/>
      <c r="G366" s="296"/>
      <c r="H366" s="297"/>
      <c r="I366" s="296"/>
      <c r="J366" s="296"/>
      <c r="K366" s="296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</row>
    <row r="367" spans="1:21">
      <c r="A367" s="295"/>
      <c r="B367" s="295"/>
      <c r="C367" s="296"/>
      <c r="D367" s="296"/>
      <c r="E367" s="296"/>
      <c r="F367" s="296"/>
      <c r="G367" s="296"/>
      <c r="H367" s="297"/>
      <c r="I367" s="296"/>
      <c r="J367" s="296"/>
      <c r="K367" s="296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</row>
    <row r="368" spans="1:21">
      <c r="A368" s="295"/>
      <c r="B368" s="295"/>
      <c r="C368" s="296"/>
      <c r="D368" s="296"/>
      <c r="E368" s="296"/>
      <c r="F368" s="296"/>
      <c r="G368" s="296"/>
      <c r="H368" s="297"/>
      <c r="I368" s="296"/>
      <c r="J368" s="296"/>
      <c r="K368" s="296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</row>
    <row r="369" spans="1:21">
      <c r="A369" s="295"/>
      <c r="B369" s="295"/>
      <c r="C369" s="296"/>
      <c r="D369" s="296"/>
      <c r="E369" s="296"/>
      <c r="F369" s="296"/>
      <c r="G369" s="296"/>
      <c r="H369" s="297"/>
      <c r="I369" s="296"/>
      <c r="J369" s="296"/>
      <c r="K369" s="296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</row>
    <row r="370" spans="1:21">
      <c r="A370" s="295"/>
      <c r="B370" s="295"/>
      <c r="C370" s="296"/>
      <c r="D370" s="296"/>
      <c r="E370" s="296"/>
      <c r="F370" s="296"/>
      <c r="G370" s="296"/>
      <c r="H370" s="297"/>
      <c r="I370" s="296"/>
      <c r="J370" s="296"/>
      <c r="K370" s="296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</row>
    <row r="371" spans="1:21">
      <c r="A371" s="295"/>
      <c r="B371" s="295"/>
      <c r="C371" s="296"/>
      <c r="D371" s="296"/>
      <c r="E371" s="296"/>
      <c r="F371" s="296"/>
      <c r="G371" s="296"/>
      <c r="H371" s="297"/>
      <c r="I371" s="296"/>
      <c r="J371" s="296"/>
      <c r="K371" s="296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</row>
    <row r="372" spans="1:21">
      <c r="A372" s="295"/>
      <c r="B372" s="295"/>
      <c r="C372" s="296"/>
      <c r="D372" s="296"/>
      <c r="E372" s="296"/>
      <c r="F372" s="296"/>
      <c r="G372" s="296"/>
      <c r="H372" s="297"/>
      <c r="I372" s="296"/>
      <c r="J372" s="296"/>
      <c r="K372" s="296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</row>
    <row r="373" spans="1:21">
      <c r="A373" s="295"/>
      <c r="B373" s="295"/>
      <c r="C373" s="296"/>
      <c r="D373" s="296"/>
      <c r="E373" s="296"/>
      <c r="F373" s="296"/>
      <c r="G373" s="296"/>
      <c r="H373" s="297"/>
      <c r="I373" s="296"/>
      <c r="J373" s="296"/>
      <c r="K373" s="296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</row>
    <row r="374" spans="1:21">
      <c r="A374" s="295"/>
      <c r="B374" s="295"/>
      <c r="C374" s="296"/>
      <c r="D374" s="296"/>
      <c r="E374" s="296"/>
      <c r="F374" s="296"/>
      <c r="G374" s="296"/>
      <c r="H374" s="297"/>
      <c r="I374" s="296"/>
      <c r="J374" s="296"/>
      <c r="K374" s="296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</row>
    <row r="375" spans="1:21">
      <c r="A375" s="295"/>
      <c r="B375" s="295"/>
      <c r="C375" s="296"/>
      <c r="D375" s="296"/>
      <c r="E375" s="296"/>
      <c r="F375" s="296"/>
      <c r="G375" s="296"/>
      <c r="H375" s="297"/>
      <c r="I375" s="296"/>
      <c r="J375" s="296"/>
      <c r="K375" s="296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</row>
    <row r="376" spans="1:21">
      <c r="A376" s="295"/>
      <c r="B376" s="295"/>
      <c r="C376" s="296"/>
      <c r="D376" s="296"/>
      <c r="E376" s="296"/>
      <c r="F376" s="296"/>
      <c r="G376" s="296"/>
      <c r="H376" s="297"/>
      <c r="I376" s="296"/>
      <c r="J376" s="296"/>
      <c r="K376" s="296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</row>
    <row r="377" spans="1:21">
      <c r="A377" s="295"/>
      <c r="B377" s="295"/>
      <c r="C377" s="296"/>
      <c r="D377" s="296"/>
      <c r="E377" s="296"/>
      <c r="F377" s="296"/>
      <c r="G377" s="296"/>
      <c r="H377" s="297"/>
      <c r="I377" s="296"/>
      <c r="J377" s="296"/>
      <c r="K377" s="296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</row>
    <row r="378" spans="1:21">
      <c r="A378" s="295"/>
      <c r="B378" s="295"/>
      <c r="C378" s="296"/>
      <c r="D378" s="296"/>
      <c r="E378" s="296"/>
      <c r="F378" s="296"/>
      <c r="G378" s="296"/>
      <c r="H378" s="297"/>
      <c r="I378" s="296"/>
      <c r="J378" s="296"/>
      <c r="K378" s="296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</row>
    <row r="379" spans="1:21">
      <c r="A379" s="295"/>
      <c r="B379" s="295"/>
      <c r="C379" s="296"/>
      <c r="D379" s="296"/>
      <c r="E379" s="296"/>
      <c r="F379" s="296"/>
      <c r="G379" s="296"/>
      <c r="H379" s="297"/>
      <c r="I379" s="296"/>
      <c r="J379" s="296"/>
      <c r="K379" s="296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</row>
    <row r="380" spans="1:21">
      <c r="A380" s="295"/>
      <c r="B380" s="295"/>
      <c r="C380" s="296"/>
      <c r="D380" s="296"/>
      <c r="E380" s="296"/>
      <c r="F380" s="296"/>
      <c r="G380" s="296"/>
      <c r="H380" s="297"/>
      <c r="I380" s="296"/>
      <c r="J380" s="296"/>
      <c r="K380" s="296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</row>
    <row r="381" spans="1:21">
      <c r="A381" s="295"/>
      <c r="B381" s="295"/>
      <c r="C381" s="296"/>
      <c r="D381" s="296"/>
      <c r="E381" s="296"/>
      <c r="F381" s="296"/>
      <c r="G381" s="296"/>
      <c r="H381" s="297"/>
      <c r="I381" s="296"/>
      <c r="J381" s="296"/>
      <c r="K381" s="296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</row>
    <row r="382" spans="1:21">
      <c r="A382" s="295"/>
      <c r="B382" s="295"/>
      <c r="C382" s="296"/>
      <c r="D382" s="296"/>
      <c r="E382" s="296"/>
      <c r="F382" s="296"/>
      <c r="G382" s="296"/>
      <c r="H382" s="297"/>
      <c r="I382" s="296"/>
      <c r="J382" s="296"/>
      <c r="K382" s="296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</row>
    <row r="383" spans="1:21">
      <c r="A383" s="295"/>
      <c r="B383" s="295"/>
      <c r="C383" s="296"/>
      <c r="D383" s="296"/>
      <c r="E383" s="296"/>
      <c r="F383" s="296"/>
      <c r="G383" s="296"/>
      <c r="H383" s="297"/>
      <c r="I383" s="296"/>
      <c r="J383" s="296"/>
      <c r="K383" s="296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</row>
    <row r="384" spans="1:21">
      <c r="A384" s="295"/>
      <c r="B384" s="295"/>
      <c r="C384" s="296"/>
      <c r="D384" s="296"/>
      <c r="E384" s="296"/>
      <c r="F384" s="296"/>
      <c r="G384" s="296"/>
      <c r="H384" s="297"/>
      <c r="I384" s="296"/>
      <c r="J384" s="296"/>
      <c r="K384" s="296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</row>
    <row r="385" spans="1:21">
      <c r="A385" s="295"/>
      <c r="B385" s="295"/>
      <c r="C385" s="296"/>
      <c r="D385" s="296"/>
      <c r="E385" s="296"/>
      <c r="F385" s="296"/>
      <c r="G385" s="296"/>
      <c r="H385" s="297"/>
      <c r="I385" s="296"/>
      <c r="J385" s="296"/>
      <c r="K385" s="296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</row>
    <row r="386" spans="1:21">
      <c r="A386" s="295"/>
      <c r="B386" s="295"/>
      <c r="C386" s="296"/>
      <c r="D386" s="296"/>
      <c r="E386" s="296"/>
      <c r="F386" s="296"/>
      <c r="G386" s="296"/>
      <c r="H386" s="297"/>
      <c r="I386" s="296"/>
      <c r="J386" s="296"/>
      <c r="K386" s="296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</row>
    <row r="387" spans="1:21">
      <c r="A387" s="295"/>
      <c r="B387" s="295"/>
      <c r="C387" s="296"/>
      <c r="D387" s="296"/>
      <c r="E387" s="296"/>
      <c r="F387" s="296"/>
      <c r="G387" s="296"/>
      <c r="H387" s="297"/>
      <c r="I387" s="296"/>
      <c r="J387" s="296"/>
      <c r="K387" s="296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</row>
    <row r="388" spans="1:21">
      <c r="A388" s="295"/>
      <c r="B388" s="295"/>
      <c r="C388" s="296"/>
      <c r="D388" s="296"/>
      <c r="E388" s="296"/>
      <c r="F388" s="296"/>
      <c r="G388" s="296"/>
      <c r="H388" s="297"/>
      <c r="I388" s="296"/>
      <c r="J388" s="296"/>
      <c r="K388" s="296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</row>
    <row r="389" spans="1:21">
      <c r="A389" s="295"/>
      <c r="B389" s="295"/>
      <c r="C389" s="296"/>
      <c r="D389" s="296"/>
      <c r="E389" s="296"/>
      <c r="F389" s="296"/>
      <c r="G389" s="296"/>
      <c r="H389" s="297"/>
      <c r="I389" s="296"/>
      <c r="J389" s="296"/>
      <c r="K389" s="296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</row>
    <row r="390" spans="1:21">
      <c r="A390" s="295"/>
      <c r="B390" s="295"/>
      <c r="C390" s="296"/>
      <c r="D390" s="296"/>
      <c r="E390" s="296"/>
      <c r="F390" s="296"/>
      <c r="G390" s="296"/>
      <c r="H390" s="297"/>
      <c r="I390" s="296"/>
      <c r="J390" s="296"/>
      <c r="K390" s="296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</row>
    <row r="391" spans="1:21">
      <c r="A391" s="295"/>
      <c r="B391" s="295"/>
      <c r="C391" s="296"/>
      <c r="D391" s="296"/>
      <c r="E391" s="296"/>
      <c r="F391" s="296"/>
      <c r="G391" s="296"/>
      <c r="H391" s="297"/>
      <c r="I391" s="296"/>
      <c r="J391" s="296"/>
      <c r="K391" s="296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</row>
    <row r="392" spans="1:21">
      <c r="A392" s="295"/>
      <c r="B392" s="295"/>
      <c r="C392" s="296"/>
      <c r="D392" s="296"/>
      <c r="E392" s="296"/>
      <c r="F392" s="296"/>
      <c r="G392" s="296"/>
      <c r="H392" s="297"/>
      <c r="I392" s="296"/>
      <c r="J392" s="296"/>
      <c r="K392" s="296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</row>
    <row r="393" spans="1:21">
      <c r="A393" s="295"/>
      <c r="B393" s="295"/>
      <c r="C393" s="296"/>
      <c r="D393" s="296"/>
      <c r="E393" s="296"/>
      <c r="F393" s="296"/>
      <c r="G393" s="296"/>
      <c r="H393" s="297"/>
      <c r="I393" s="296"/>
      <c r="J393" s="296"/>
      <c r="K393" s="296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</row>
    <row r="394" spans="1:21">
      <c r="A394" s="295"/>
      <c r="B394" s="295"/>
      <c r="C394" s="296"/>
      <c r="D394" s="296"/>
      <c r="E394" s="296"/>
      <c r="F394" s="296"/>
      <c r="G394" s="296"/>
      <c r="H394" s="297"/>
      <c r="I394" s="296"/>
      <c r="J394" s="296"/>
      <c r="K394" s="296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</row>
    <row r="395" spans="1:21">
      <c r="A395" s="295"/>
      <c r="B395" s="295"/>
      <c r="C395" s="296"/>
      <c r="D395" s="296"/>
      <c r="E395" s="296"/>
      <c r="F395" s="296"/>
      <c r="G395" s="296"/>
      <c r="H395" s="297"/>
      <c r="I395" s="296"/>
      <c r="J395" s="296"/>
      <c r="K395" s="296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</row>
    <row r="396" spans="1:21">
      <c r="A396" s="295"/>
      <c r="B396" s="295"/>
      <c r="C396" s="296"/>
      <c r="D396" s="296"/>
      <c r="E396" s="296"/>
      <c r="F396" s="296"/>
      <c r="G396" s="296"/>
      <c r="H396" s="297"/>
      <c r="I396" s="296"/>
      <c r="J396" s="296"/>
      <c r="K396" s="296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</row>
    <row r="397" spans="1:21">
      <c r="A397" s="295"/>
      <c r="B397" s="295"/>
      <c r="C397" s="296"/>
      <c r="D397" s="296"/>
      <c r="E397" s="296"/>
      <c r="F397" s="296"/>
      <c r="G397" s="296"/>
      <c r="H397" s="297"/>
      <c r="I397" s="296"/>
      <c r="J397" s="296"/>
      <c r="K397" s="296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</row>
    <row r="398" spans="1:21">
      <c r="A398" s="295"/>
      <c r="B398" s="295"/>
      <c r="C398" s="296"/>
      <c r="D398" s="296"/>
      <c r="E398" s="296"/>
      <c r="F398" s="296"/>
      <c r="G398" s="296"/>
      <c r="H398" s="297"/>
      <c r="I398" s="296"/>
      <c r="J398" s="296"/>
      <c r="K398" s="296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</row>
    <row r="399" spans="1:21">
      <c r="A399" s="295"/>
      <c r="B399" s="295"/>
      <c r="C399" s="296"/>
      <c r="D399" s="296"/>
      <c r="E399" s="296"/>
      <c r="F399" s="296"/>
      <c r="G399" s="296"/>
      <c r="H399" s="297"/>
      <c r="I399" s="296"/>
      <c r="J399" s="296"/>
      <c r="K399" s="296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</row>
    <row r="400" spans="1:21">
      <c r="A400" s="295"/>
      <c r="B400" s="295"/>
      <c r="C400" s="296"/>
      <c r="D400" s="296"/>
      <c r="E400" s="296"/>
      <c r="F400" s="296"/>
      <c r="G400" s="296"/>
      <c r="H400" s="297"/>
      <c r="I400" s="296"/>
      <c r="J400" s="296"/>
      <c r="K400" s="296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</row>
    <row r="401" spans="1:21">
      <c r="A401" s="295"/>
      <c r="B401" s="295"/>
      <c r="C401" s="296"/>
      <c r="D401" s="296"/>
      <c r="E401" s="296"/>
      <c r="F401" s="296"/>
      <c r="G401" s="296"/>
      <c r="H401" s="297"/>
      <c r="I401" s="296"/>
      <c r="J401" s="296"/>
      <c r="K401" s="296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</row>
    <row r="402" spans="1:21">
      <c r="A402" s="295"/>
      <c r="B402" s="295"/>
      <c r="C402" s="296"/>
      <c r="D402" s="296"/>
      <c r="E402" s="296"/>
      <c r="F402" s="296"/>
      <c r="G402" s="296"/>
      <c r="H402" s="297"/>
      <c r="I402" s="296"/>
      <c r="J402" s="296"/>
      <c r="K402" s="296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</row>
    <row r="403" spans="1:21">
      <c r="A403" s="295"/>
      <c r="B403" s="295"/>
      <c r="C403" s="296"/>
      <c r="D403" s="296"/>
      <c r="E403" s="296"/>
      <c r="F403" s="296"/>
      <c r="G403" s="296"/>
      <c r="H403" s="297"/>
      <c r="I403" s="296"/>
      <c r="J403" s="296"/>
      <c r="K403" s="296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</row>
    <row r="404" spans="1:21">
      <c r="A404" s="295"/>
      <c r="B404" s="295"/>
      <c r="C404" s="296"/>
      <c r="D404" s="296"/>
      <c r="E404" s="296"/>
      <c r="F404" s="296"/>
      <c r="G404" s="296"/>
      <c r="H404" s="297"/>
      <c r="I404" s="296"/>
      <c r="J404" s="296"/>
      <c r="K404" s="296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</row>
    <row r="405" spans="1:21">
      <c r="A405" s="295"/>
      <c r="B405" s="295"/>
      <c r="C405" s="296"/>
      <c r="D405" s="296"/>
      <c r="E405" s="296"/>
      <c r="F405" s="296"/>
      <c r="G405" s="296"/>
      <c r="H405" s="297"/>
      <c r="I405" s="296"/>
      <c r="J405" s="296"/>
      <c r="K405" s="296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</row>
    <row r="406" spans="1:21">
      <c r="A406" s="295"/>
      <c r="B406" s="295"/>
      <c r="C406" s="296"/>
      <c r="D406" s="296"/>
      <c r="E406" s="296"/>
      <c r="F406" s="296"/>
      <c r="G406" s="296"/>
      <c r="H406" s="297"/>
      <c r="I406" s="296"/>
      <c r="J406" s="296"/>
      <c r="K406" s="296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</row>
    <row r="407" spans="1:21">
      <c r="A407" s="295"/>
      <c r="B407" s="295"/>
      <c r="C407" s="296"/>
      <c r="D407" s="296"/>
      <c r="E407" s="296"/>
      <c r="F407" s="296"/>
      <c r="G407" s="296"/>
      <c r="H407" s="297"/>
      <c r="I407" s="296"/>
      <c r="J407" s="296"/>
      <c r="K407" s="296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</row>
    <row r="408" spans="1:21">
      <c r="A408" s="295"/>
      <c r="B408" s="295"/>
      <c r="C408" s="296"/>
      <c r="D408" s="296"/>
      <c r="E408" s="296"/>
      <c r="F408" s="296"/>
      <c r="G408" s="296"/>
      <c r="H408" s="297"/>
      <c r="I408" s="296"/>
      <c r="J408" s="296"/>
      <c r="K408" s="296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</row>
    <row r="409" spans="1:21">
      <c r="A409" s="295"/>
      <c r="B409" s="295"/>
      <c r="C409" s="296"/>
      <c r="D409" s="296"/>
      <c r="E409" s="296"/>
      <c r="F409" s="296"/>
      <c r="G409" s="296"/>
      <c r="H409" s="297"/>
      <c r="I409" s="296"/>
      <c r="J409" s="296"/>
      <c r="K409" s="296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</row>
    <row r="410" spans="1:21">
      <c r="A410" s="295"/>
      <c r="B410" s="295"/>
      <c r="C410" s="296"/>
      <c r="D410" s="296"/>
      <c r="E410" s="296"/>
      <c r="F410" s="296"/>
      <c r="G410" s="296"/>
      <c r="H410" s="297"/>
      <c r="I410" s="296"/>
      <c r="J410" s="296"/>
      <c r="K410" s="296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</row>
    <row r="411" spans="1:21">
      <c r="A411" s="295"/>
      <c r="B411" s="295"/>
      <c r="C411" s="296"/>
      <c r="D411" s="296"/>
      <c r="E411" s="296"/>
      <c r="F411" s="296"/>
      <c r="G411" s="296"/>
      <c r="H411" s="297"/>
      <c r="I411" s="296"/>
      <c r="J411" s="296"/>
      <c r="K411" s="296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</row>
    <row r="412" spans="1:21">
      <c r="A412" s="295"/>
      <c r="B412" s="295"/>
      <c r="C412" s="296"/>
      <c r="D412" s="296"/>
      <c r="E412" s="296"/>
      <c r="F412" s="296"/>
      <c r="G412" s="296"/>
      <c r="H412" s="297"/>
      <c r="I412" s="296"/>
      <c r="J412" s="296"/>
      <c r="K412" s="296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</row>
    <row r="413" spans="1:21">
      <c r="A413" s="295"/>
      <c r="B413" s="295"/>
      <c r="C413" s="296"/>
      <c r="D413" s="296"/>
      <c r="E413" s="296"/>
      <c r="F413" s="296"/>
      <c r="G413" s="296"/>
      <c r="H413" s="297"/>
      <c r="I413" s="296"/>
      <c r="J413" s="296"/>
      <c r="K413" s="296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</row>
    <row r="414" spans="1:21">
      <c r="A414" s="295"/>
      <c r="B414" s="295"/>
      <c r="C414" s="296"/>
      <c r="D414" s="296"/>
      <c r="E414" s="296"/>
      <c r="F414" s="296"/>
      <c r="G414" s="296"/>
      <c r="H414" s="297"/>
      <c r="I414" s="296"/>
      <c r="J414" s="296"/>
      <c r="K414" s="296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</row>
    <row r="415" spans="1:21">
      <c r="A415" s="295"/>
      <c r="B415" s="295"/>
      <c r="C415" s="296"/>
      <c r="D415" s="296"/>
      <c r="E415" s="296"/>
      <c r="F415" s="296"/>
      <c r="G415" s="296"/>
      <c r="H415" s="297"/>
      <c r="I415" s="296"/>
      <c r="J415" s="296"/>
      <c r="K415" s="296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</row>
    <row r="416" spans="1:21">
      <c r="A416" s="295"/>
      <c r="B416" s="295"/>
      <c r="C416" s="296"/>
      <c r="D416" s="296"/>
      <c r="E416" s="296"/>
      <c r="F416" s="296"/>
      <c r="G416" s="296"/>
      <c r="H416" s="297"/>
      <c r="I416" s="296"/>
      <c r="J416" s="296"/>
      <c r="K416" s="296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</row>
    <row r="417" spans="1:21">
      <c r="A417" s="295"/>
      <c r="B417" s="295"/>
      <c r="C417" s="296"/>
      <c r="D417" s="296"/>
      <c r="E417" s="296"/>
      <c r="F417" s="296"/>
      <c r="G417" s="296"/>
      <c r="H417" s="297"/>
      <c r="I417" s="296"/>
      <c r="J417" s="296"/>
      <c r="K417" s="296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</row>
    <row r="418" spans="1:21">
      <c r="A418" s="295"/>
      <c r="B418" s="295"/>
      <c r="C418" s="296"/>
      <c r="D418" s="296"/>
      <c r="E418" s="296"/>
      <c r="F418" s="296"/>
      <c r="G418" s="296"/>
      <c r="H418" s="297"/>
      <c r="I418" s="296"/>
      <c r="J418" s="296"/>
      <c r="K418" s="296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</row>
    <row r="419" spans="1:21">
      <c r="A419" s="295"/>
      <c r="B419" s="295"/>
      <c r="C419" s="296"/>
      <c r="D419" s="296"/>
      <c r="E419" s="296"/>
      <c r="F419" s="296"/>
      <c r="G419" s="296"/>
      <c r="H419" s="297"/>
      <c r="I419" s="296"/>
      <c r="J419" s="296"/>
      <c r="K419" s="296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</row>
    <row r="420" spans="1:21">
      <c r="A420" s="295"/>
      <c r="B420" s="295"/>
      <c r="C420" s="296"/>
      <c r="D420" s="296"/>
      <c r="E420" s="296"/>
      <c r="F420" s="296"/>
      <c r="G420" s="296"/>
      <c r="H420" s="297"/>
      <c r="I420" s="296"/>
      <c r="J420" s="296"/>
      <c r="K420" s="296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</row>
    <row r="421" spans="1:21">
      <c r="A421" s="295"/>
      <c r="B421" s="295"/>
      <c r="C421" s="296"/>
      <c r="D421" s="296"/>
      <c r="E421" s="296"/>
      <c r="F421" s="296"/>
      <c r="G421" s="296"/>
      <c r="H421" s="297"/>
      <c r="I421" s="296"/>
      <c r="J421" s="296"/>
      <c r="K421" s="296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</row>
    <row r="422" spans="1:21">
      <c r="A422" s="295"/>
      <c r="B422" s="295"/>
      <c r="C422" s="296"/>
      <c r="D422" s="296"/>
      <c r="E422" s="296"/>
      <c r="F422" s="296"/>
      <c r="G422" s="296"/>
      <c r="H422" s="297"/>
      <c r="I422" s="296"/>
      <c r="J422" s="296"/>
      <c r="K422" s="296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</row>
    <row r="423" spans="1:21">
      <c r="A423" s="295"/>
      <c r="B423" s="295"/>
      <c r="C423" s="296"/>
      <c r="D423" s="296"/>
      <c r="E423" s="296"/>
      <c r="F423" s="296"/>
      <c r="G423" s="296"/>
      <c r="H423" s="297"/>
      <c r="I423" s="296"/>
      <c r="J423" s="296"/>
      <c r="K423" s="296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</row>
    <row r="424" spans="1:21">
      <c r="A424" s="295"/>
      <c r="B424" s="295"/>
      <c r="C424" s="296"/>
      <c r="D424" s="296"/>
      <c r="E424" s="296"/>
      <c r="F424" s="296"/>
      <c r="G424" s="296"/>
      <c r="H424" s="297"/>
      <c r="I424" s="296"/>
      <c r="J424" s="296"/>
      <c r="K424" s="296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</row>
    <row r="425" spans="1:21">
      <c r="A425" s="295"/>
      <c r="B425" s="295"/>
      <c r="C425" s="296"/>
      <c r="D425" s="296"/>
      <c r="E425" s="296"/>
      <c r="F425" s="296"/>
      <c r="G425" s="296"/>
      <c r="H425" s="297"/>
      <c r="I425" s="296"/>
      <c r="J425" s="296"/>
      <c r="K425" s="296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</row>
    <row r="426" spans="1:21">
      <c r="A426" s="295"/>
      <c r="B426" s="295"/>
      <c r="C426" s="296"/>
      <c r="D426" s="296"/>
      <c r="E426" s="296"/>
      <c r="F426" s="296"/>
      <c r="G426" s="296"/>
      <c r="H426" s="297"/>
      <c r="I426" s="296"/>
      <c r="J426" s="296"/>
      <c r="K426" s="296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</row>
    <row r="427" spans="1:21">
      <c r="A427" s="295"/>
      <c r="B427" s="295"/>
      <c r="C427" s="296"/>
      <c r="D427" s="296"/>
      <c r="E427" s="296"/>
      <c r="F427" s="296"/>
      <c r="G427" s="296"/>
      <c r="H427" s="297"/>
      <c r="I427" s="296"/>
      <c r="J427" s="296"/>
      <c r="K427" s="296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</row>
    <row r="428" spans="1:21">
      <c r="A428" s="295"/>
      <c r="B428" s="295"/>
      <c r="C428" s="296"/>
      <c r="D428" s="296"/>
      <c r="E428" s="296"/>
      <c r="F428" s="296"/>
      <c r="G428" s="296"/>
      <c r="H428" s="297"/>
      <c r="I428" s="296"/>
      <c r="J428" s="296"/>
      <c r="K428" s="296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</row>
    <row r="429" spans="1:21">
      <c r="A429" s="295"/>
      <c r="B429" s="295"/>
      <c r="C429" s="296"/>
      <c r="D429" s="296"/>
      <c r="E429" s="296"/>
      <c r="F429" s="296"/>
      <c r="G429" s="296"/>
      <c r="H429" s="297"/>
      <c r="I429" s="296"/>
      <c r="J429" s="296"/>
      <c r="K429" s="296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</row>
    <row r="430" spans="1:21">
      <c r="A430" s="295"/>
      <c r="B430" s="295"/>
      <c r="C430" s="296"/>
      <c r="D430" s="296"/>
      <c r="E430" s="296"/>
      <c r="F430" s="296"/>
      <c r="G430" s="296"/>
      <c r="H430" s="297"/>
      <c r="I430" s="296"/>
      <c r="J430" s="296"/>
      <c r="K430" s="296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</row>
    <row r="431" spans="1:21">
      <c r="A431" s="295"/>
      <c r="B431" s="295"/>
      <c r="C431" s="296"/>
      <c r="D431" s="296"/>
      <c r="E431" s="296"/>
      <c r="F431" s="296"/>
      <c r="G431" s="296"/>
      <c r="H431" s="297"/>
      <c r="I431" s="296"/>
      <c r="J431" s="296"/>
      <c r="K431" s="296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</row>
    <row r="432" spans="1:21">
      <c r="A432" s="295"/>
      <c r="B432" s="295"/>
      <c r="C432" s="296"/>
      <c r="D432" s="296"/>
      <c r="E432" s="296"/>
      <c r="F432" s="296"/>
      <c r="G432" s="296"/>
      <c r="H432" s="297"/>
      <c r="I432" s="296"/>
      <c r="J432" s="296"/>
      <c r="K432" s="296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</row>
    <row r="433" spans="1:21">
      <c r="A433" s="295"/>
      <c r="B433" s="295"/>
      <c r="C433" s="296"/>
      <c r="D433" s="296"/>
      <c r="E433" s="296"/>
      <c r="F433" s="296"/>
      <c r="G433" s="296"/>
      <c r="H433" s="297"/>
      <c r="I433" s="296"/>
      <c r="J433" s="296"/>
      <c r="K433" s="296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</row>
    <row r="434" spans="1:21">
      <c r="A434" s="295"/>
      <c r="B434" s="295"/>
      <c r="C434" s="296"/>
      <c r="D434" s="296"/>
      <c r="E434" s="296"/>
      <c r="F434" s="296"/>
      <c r="G434" s="296"/>
      <c r="H434" s="297"/>
      <c r="I434" s="296"/>
      <c r="J434" s="296"/>
      <c r="K434" s="296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</row>
    <row r="435" spans="1:21">
      <c r="A435" s="295"/>
      <c r="B435" s="295"/>
      <c r="C435" s="296"/>
      <c r="D435" s="296"/>
      <c r="E435" s="296"/>
      <c r="F435" s="296"/>
      <c r="G435" s="296"/>
      <c r="H435" s="297"/>
      <c r="I435" s="296"/>
      <c r="J435" s="296"/>
      <c r="K435" s="296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</row>
    <row r="436" spans="1:21">
      <c r="A436" s="295"/>
      <c r="B436" s="295"/>
      <c r="C436" s="296"/>
      <c r="D436" s="296"/>
      <c r="E436" s="296"/>
      <c r="F436" s="296"/>
      <c r="G436" s="296"/>
      <c r="H436" s="297"/>
      <c r="I436" s="296"/>
      <c r="J436" s="296"/>
      <c r="K436" s="296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</row>
    <row r="437" spans="1:21">
      <c r="A437" s="295"/>
      <c r="B437" s="295"/>
      <c r="C437" s="296"/>
      <c r="D437" s="296"/>
      <c r="E437" s="296"/>
      <c r="F437" s="296"/>
      <c r="G437" s="296"/>
      <c r="H437" s="297"/>
      <c r="I437" s="296"/>
      <c r="J437" s="296"/>
      <c r="K437" s="296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</row>
    <row r="438" spans="1:21">
      <c r="A438" s="295"/>
      <c r="B438" s="295"/>
      <c r="C438" s="296"/>
      <c r="D438" s="296"/>
      <c r="E438" s="296"/>
      <c r="F438" s="296"/>
      <c r="G438" s="296"/>
      <c r="H438" s="297"/>
      <c r="I438" s="296"/>
      <c r="J438" s="296"/>
      <c r="K438" s="296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</row>
    <row r="439" spans="1:21">
      <c r="A439" s="295"/>
      <c r="B439" s="295"/>
      <c r="C439" s="296"/>
      <c r="D439" s="296"/>
      <c r="E439" s="296"/>
      <c r="F439" s="296"/>
      <c r="G439" s="296"/>
      <c r="H439" s="297"/>
      <c r="I439" s="296"/>
      <c r="J439" s="296"/>
      <c r="K439" s="296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</row>
    <row r="440" spans="1:21">
      <c r="A440" s="295"/>
      <c r="B440" s="295"/>
      <c r="C440" s="296"/>
      <c r="D440" s="296"/>
      <c r="E440" s="296"/>
      <c r="F440" s="296"/>
      <c r="G440" s="296"/>
      <c r="H440" s="297"/>
      <c r="I440" s="296"/>
      <c r="J440" s="296"/>
      <c r="K440" s="296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</row>
    <row r="441" spans="1:21">
      <c r="A441" s="295"/>
      <c r="B441" s="295"/>
      <c r="C441" s="296"/>
      <c r="D441" s="296"/>
      <c r="E441" s="296"/>
      <c r="F441" s="296"/>
      <c r="G441" s="296"/>
      <c r="H441" s="297"/>
      <c r="I441" s="296"/>
      <c r="J441" s="296"/>
      <c r="K441" s="296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</row>
    <row r="442" spans="1:21">
      <c r="A442" s="295"/>
      <c r="B442" s="295"/>
      <c r="C442" s="296"/>
      <c r="D442" s="296"/>
      <c r="E442" s="296"/>
      <c r="F442" s="296"/>
      <c r="G442" s="296"/>
      <c r="H442" s="297"/>
      <c r="I442" s="296"/>
      <c r="J442" s="296"/>
      <c r="K442" s="296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</row>
    <row r="443" spans="1:21">
      <c r="A443" s="295"/>
      <c r="B443" s="295"/>
      <c r="C443" s="296"/>
      <c r="D443" s="296"/>
      <c r="E443" s="296"/>
      <c r="F443" s="296"/>
      <c r="G443" s="296"/>
      <c r="H443" s="297"/>
      <c r="I443" s="296"/>
      <c r="J443" s="296"/>
      <c r="K443" s="296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</row>
    <row r="444" spans="1:21">
      <c r="A444" s="295"/>
      <c r="B444" s="295"/>
      <c r="C444" s="296"/>
      <c r="D444" s="296"/>
      <c r="E444" s="296"/>
      <c r="F444" s="296"/>
      <c r="G444" s="296"/>
      <c r="H444" s="297"/>
      <c r="I444" s="296"/>
      <c r="J444" s="296"/>
      <c r="K444" s="296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</row>
    <row r="445" spans="1:21">
      <c r="A445" s="295"/>
      <c r="B445" s="295"/>
      <c r="C445" s="296"/>
      <c r="D445" s="296"/>
      <c r="E445" s="296"/>
      <c r="F445" s="296"/>
      <c r="G445" s="296"/>
      <c r="H445" s="297"/>
      <c r="I445" s="296"/>
      <c r="J445" s="296"/>
      <c r="K445" s="296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</row>
    <row r="446" spans="1:21">
      <c r="A446" s="295"/>
      <c r="B446" s="295"/>
      <c r="C446" s="296"/>
      <c r="D446" s="296"/>
      <c r="E446" s="296"/>
      <c r="F446" s="296"/>
      <c r="G446" s="296"/>
      <c r="H446" s="297"/>
      <c r="I446" s="296"/>
      <c r="J446" s="296"/>
      <c r="K446" s="296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</row>
    <row r="447" spans="1:21">
      <c r="A447" s="295"/>
      <c r="B447" s="295"/>
      <c r="C447" s="296"/>
      <c r="D447" s="296"/>
      <c r="E447" s="296"/>
      <c r="F447" s="296"/>
      <c r="G447" s="296"/>
      <c r="H447" s="297"/>
      <c r="I447" s="296"/>
      <c r="J447" s="296"/>
      <c r="K447" s="296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</row>
    <row r="448" spans="1:21">
      <c r="A448" s="295"/>
      <c r="B448" s="295"/>
      <c r="C448" s="296"/>
      <c r="D448" s="296"/>
      <c r="E448" s="296"/>
      <c r="F448" s="296"/>
      <c r="G448" s="296"/>
      <c r="H448" s="297"/>
      <c r="I448" s="296"/>
      <c r="J448" s="296"/>
      <c r="K448" s="296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</row>
    <row r="449" spans="1:21">
      <c r="A449" s="295"/>
      <c r="B449" s="295"/>
      <c r="C449" s="296"/>
      <c r="D449" s="296"/>
      <c r="E449" s="296"/>
      <c r="F449" s="296"/>
      <c r="G449" s="296"/>
      <c r="H449" s="297"/>
      <c r="I449" s="296"/>
      <c r="J449" s="296"/>
      <c r="K449" s="296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</row>
    <row r="450" spans="1:21">
      <c r="A450" s="295"/>
      <c r="B450" s="295"/>
      <c r="C450" s="296"/>
      <c r="D450" s="296"/>
      <c r="E450" s="296"/>
      <c r="F450" s="296"/>
      <c r="G450" s="296"/>
      <c r="H450" s="297"/>
      <c r="I450" s="296"/>
      <c r="J450" s="296"/>
      <c r="K450" s="296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</row>
    <row r="451" spans="1:21">
      <c r="A451" s="295"/>
      <c r="B451" s="295"/>
      <c r="C451" s="296"/>
      <c r="D451" s="296"/>
      <c r="E451" s="296"/>
      <c r="F451" s="296"/>
      <c r="G451" s="296"/>
      <c r="H451" s="297"/>
      <c r="I451" s="296"/>
      <c r="J451" s="296"/>
      <c r="K451" s="296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</row>
    <row r="452" spans="1:21">
      <c r="A452" s="295"/>
      <c r="B452" s="295"/>
      <c r="C452" s="296"/>
      <c r="D452" s="296"/>
      <c r="E452" s="296"/>
      <c r="F452" s="296"/>
      <c r="G452" s="296"/>
      <c r="H452" s="297"/>
      <c r="I452" s="296"/>
      <c r="J452" s="296"/>
      <c r="K452" s="296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</row>
    <row r="453" spans="1:21">
      <c r="A453" s="295"/>
      <c r="B453" s="295"/>
      <c r="C453" s="296"/>
      <c r="D453" s="296"/>
      <c r="E453" s="296"/>
      <c r="F453" s="296"/>
      <c r="G453" s="296"/>
      <c r="H453" s="297"/>
      <c r="I453" s="296"/>
      <c r="J453" s="296"/>
      <c r="K453" s="296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</row>
    <row r="454" spans="1:21">
      <c r="A454" s="295"/>
      <c r="B454" s="295"/>
      <c r="C454" s="296"/>
      <c r="D454" s="296"/>
      <c r="E454" s="296"/>
      <c r="F454" s="296"/>
      <c r="G454" s="296"/>
      <c r="H454" s="297"/>
      <c r="I454" s="296"/>
      <c r="J454" s="296"/>
      <c r="K454" s="296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</row>
    <row r="455" spans="1:21">
      <c r="A455" s="295"/>
      <c r="B455" s="295"/>
      <c r="C455" s="296"/>
      <c r="D455" s="296"/>
      <c r="E455" s="296"/>
      <c r="F455" s="296"/>
      <c r="G455" s="296"/>
      <c r="H455" s="297"/>
      <c r="I455" s="296"/>
      <c r="J455" s="296"/>
      <c r="K455" s="296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</row>
    <row r="456" spans="1:21">
      <c r="A456" s="295"/>
      <c r="B456" s="295"/>
      <c r="C456" s="296"/>
      <c r="D456" s="296"/>
      <c r="E456" s="296"/>
      <c r="F456" s="296"/>
      <c r="G456" s="296"/>
      <c r="H456" s="297"/>
      <c r="I456" s="296"/>
      <c r="J456" s="296"/>
      <c r="K456" s="296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</row>
    <row r="457" spans="1:21">
      <c r="A457" s="295"/>
      <c r="B457" s="295"/>
      <c r="C457" s="296"/>
      <c r="D457" s="296"/>
      <c r="E457" s="296"/>
      <c r="F457" s="296"/>
      <c r="G457" s="296"/>
      <c r="H457" s="297"/>
      <c r="I457" s="296"/>
      <c r="J457" s="296"/>
      <c r="K457" s="296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</row>
    <row r="458" spans="1:21">
      <c r="A458" s="295"/>
      <c r="B458" s="295"/>
      <c r="C458" s="296"/>
      <c r="D458" s="296"/>
      <c r="E458" s="296"/>
      <c r="F458" s="296"/>
      <c r="G458" s="296"/>
      <c r="H458" s="297"/>
      <c r="I458" s="296"/>
      <c r="J458" s="296"/>
      <c r="K458" s="296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</row>
    <row r="459" spans="1:21">
      <c r="A459" s="295"/>
      <c r="B459" s="295"/>
      <c r="C459" s="296"/>
      <c r="D459" s="296"/>
      <c r="E459" s="296"/>
      <c r="F459" s="296"/>
      <c r="G459" s="296"/>
      <c r="H459" s="297"/>
      <c r="I459" s="296"/>
      <c r="J459" s="296"/>
      <c r="K459" s="296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</row>
    <row r="460" spans="1:21">
      <c r="A460" s="295"/>
      <c r="B460" s="295"/>
      <c r="C460" s="296"/>
      <c r="D460" s="296"/>
      <c r="E460" s="296"/>
      <c r="F460" s="296"/>
      <c r="G460" s="296"/>
      <c r="H460" s="297"/>
      <c r="I460" s="296"/>
      <c r="J460" s="296"/>
      <c r="K460" s="296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</row>
    <row r="461" spans="1:21">
      <c r="A461" s="295"/>
      <c r="B461" s="295"/>
      <c r="C461" s="296"/>
      <c r="D461" s="296"/>
      <c r="E461" s="296"/>
      <c r="F461" s="296"/>
      <c r="G461" s="296"/>
      <c r="H461" s="297"/>
      <c r="I461" s="296"/>
      <c r="J461" s="296"/>
      <c r="K461" s="296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</row>
    <row r="462" spans="1:21">
      <c r="A462" s="295"/>
      <c r="B462" s="295"/>
      <c r="C462" s="296"/>
      <c r="D462" s="296"/>
      <c r="E462" s="296"/>
      <c r="F462" s="296"/>
      <c r="G462" s="296"/>
      <c r="H462" s="297"/>
      <c r="I462" s="296"/>
      <c r="J462" s="296"/>
      <c r="K462" s="296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</row>
    <row r="463" spans="1:21">
      <c r="A463" s="295"/>
      <c r="B463" s="295"/>
      <c r="C463" s="296"/>
      <c r="D463" s="296"/>
      <c r="E463" s="296"/>
      <c r="F463" s="296"/>
      <c r="G463" s="296"/>
      <c r="H463" s="297"/>
      <c r="I463" s="296"/>
      <c r="J463" s="296"/>
      <c r="K463" s="296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</row>
    <row r="464" spans="1:21">
      <c r="A464" s="295"/>
      <c r="B464" s="295"/>
      <c r="C464" s="296"/>
      <c r="D464" s="296"/>
      <c r="E464" s="296"/>
      <c r="F464" s="296"/>
      <c r="G464" s="296"/>
      <c r="H464" s="297"/>
      <c r="I464" s="296"/>
      <c r="J464" s="296"/>
      <c r="K464" s="296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</row>
    <row r="465" spans="1:21">
      <c r="A465" s="295"/>
      <c r="B465" s="295"/>
      <c r="C465" s="296"/>
      <c r="D465" s="296"/>
      <c r="E465" s="296"/>
      <c r="F465" s="296"/>
      <c r="G465" s="296"/>
      <c r="H465" s="297"/>
      <c r="I465" s="296"/>
      <c r="J465" s="296"/>
      <c r="K465" s="296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</row>
    <row r="466" spans="1:21">
      <c r="A466" s="295"/>
      <c r="B466" s="295"/>
      <c r="C466" s="296"/>
      <c r="D466" s="296"/>
      <c r="E466" s="296"/>
      <c r="F466" s="296"/>
      <c r="G466" s="296"/>
      <c r="H466" s="297"/>
      <c r="I466" s="296"/>
      <c r="J466" s="296"/>
      <c r="K466" s="296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</row>
    <row r="467" spans="1:21">
      <c r="A467" s="295"/>
      <c r="B467" s="295"/>
      <c r="C467" s="296"/>
      <c r="D467" s="296"/>
      <c r="E467" s="296"/>
      <c r="F467" s="296"/>
      <c r="G467" s="296"/>
      <c r="H467" s="297"/>
      <c r="I467" s="296"/>
      <c r="J467" s="296"/>
      <c r="K467" s="296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</row>
    <row r="468" spans="1:21">
      <c r="A468" s="295"/>
      <c r="B468" s="295"/>
      <c r="C468" s="296"/>
      <c r="D468" s="296"/>
      <c r="E468" s="296"/>
      <c r="F468" s="296"/>
      <c r="G468" s="296"/>
      <c r="H468" s="297"/>
      <c r="I468" s="296"/>
      <c r="J468" s="296"/>
      <c r="K468" s="296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</row>
    <row r="469" spans="1:21">
      <c r="A469" s="295"/>
      <c r="B469" s="295"/>
      <c r="C469" s="296"/>
      <c r="D469" s="296"/>
      <c r="E469" s="296"/>
      <c r="F469" s="296"/>
      <c r="G469" s="296"/>
      <c r="H469" s="297"/>
      <c r="I469" s="296"/>
      <c r="J469" s="296"/>
      <c r="K469" s="296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</row>
    <row r="470" spans="1:21">
      <c r="A470" s="295"/>
      <c r="B470" s="295"/>
      <c r="C470" s="296"/>
      <c r="D470" s="296"/>
      <c r="E470" s="296"/>
      <c r="F470" s="296"/>
      <c r="G470" s="296"/>
      <c r="H470" s="297"/>
      <c r="I470" s="296"/>
      <c r="J470" s="296"/>
      <c r="K470" s="296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</row>
    <row r="471" spans="1:21">
      <c r="A471" s="295"/>
      <c r="B471" s="295"/>
      <c r="C471" s="296"/>
      <c r="D471" s="296"/>
      <c r="E471" s="296"/>
      <c r="F471" s="296"/>
      <c r="G471" s="296"/>
      <c r="H471" s="297"/>
      <c r="I471" s="296"/>
      <c r="J471" s="296"/>
      <c r="K471" s="296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</row>
    <row r="472" spans="1:21">
      <c r="A472" s="295"/>
      <c r="B472" s="295"/>
      <c r="C472" s="296"/>
      <c r="D472" s="296"/>
      <c r="E472" s="296"/>
      <c r="F472" s="296"/>
      <c r="G472" s="296"/>
      <c r="H472" s="297"/>
      <c r="I472" s="296"/>
      <c r="J472" s="296"/>
      <c r="K472" s="296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</row>
    <row r="473" spans="1:21">
      <c r="A473" s="295"/>
      <c r="B473" s="295"/>
      <c r="C473" s="296"/>
      <c r="D473" s="296"/>
      <c r="E473" s="296"/>
      <c r="F473" s="296"/>
      <c r="G473" s="296"/>
      <c r="H473" s="297"/>
      <c r="I473" s="296"/>
      <c r="J473" s="296"/>
      <c r="K473" s="296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</row>
    <row r="474" spans="1:21">
      <c r="A474" s="295"/>
      <c r="B474" s="295"/>
      <c r="C474" s="296"/>
      <c r="D474" s="296"/>
      <c r="E474" s="296"/>
      <c r="F474" s="296"/>
      <c r="G474" s="296"/>
      <c r="H474" s="297"/>
      <c r="I474" s="296"/>
      <c r="J474" s="296"/>
      <c r="K474" s="296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</row>
    <row r="475" spans="1:21">
      <c r="A475" s="295"/>
      <c r="B475" s="295"/>
      <c r="C475" s="296"/>
      <c r="D475" s="296"/>
      <c r="E475" s="296"/>
      <c r="F475" s="296"/>
      <c r="G475" s="296"/>
      <c r="H475" s="297"/>
      <c r="I475" s="296"/>
      <c r="J475" s="296"/>
      <c r="K475" s="296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</row>
    <row r="476" spans="1:21">
      <c r="A476" s="295"/>
      <c r="B476" s="295"/>
      <c r="C476" s="296"/>
      <c r="D476" s="296"/>
      <c r="E476" s="296"/>
      <c r="F476" s="296"/>
      <c r="G476" s="296"/>
      <c r="H476" s="297"/>
      <c r="I476" s="296"/>
      <c r="J476" s="296"/>
      <c r="K476" s="296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</row>
    <row r="477" spans="1:21">
      <c r="A477" s="295"/>
      <c r="B477" s="295"/>
      <c r="C477" s="296"/>
      <c r="D477" s="296"/>
      <c r="E477" s="296"/>
      <c r="F477" s="296"/>
      <c r="G477" s="296"/>
      <c r="H477" s="297"/>
      <c r="I477" s="296"/>
      <c r="J477" s="296"/>
      <c r="K477" s="296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</row>
    <row r="478" spans="1:21">
      <c r="A478" s="295"/>
      <c r="B478" s="295"/>
      <c r="C478" s="296"/>
      <c r="D478" s="296"/>
      <c r="E478" s="296"/>
      <c r="F478" s="296"/>
      <c r="G478" s="296"/>
      <c r="H478" s="297"/>
      <c r="I478" s="296"/>
      <c r="J478" s="296"/>
      <c r="K478" s="296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</row>
    <row r="479" spans="1:21">
      <c r="A479" s="295"/>
      <c r="B479" s="295"/>
      <c r="C479" s="296"/>
      <c r="D479" s="296"/>
      <c r="E479" s="296"/>
      <c r="F479" s="296"/>
      <c r="G479" s="296"/>
      <c r="H479" s="297"/>
      <c r="I479" s="296"/>
      <c r="J479" s="296"/>
      <c r="K479" s="296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</row>
    <row r="480" spans="1:21">
      <c r="A480" s="295"/>
      <c r="B480" s="295"/>
      <c r="C480" s="296"/>
      <c r="D480" s="296"/>
      <c r="E480" s="296"/>
      <c r="F480" s="296"/>
      <c r="G480" s="296"/>
      <c r="H480" s="297"/>
      <c r="I480" s="296"/>
      <c r="J480" s="296"/>
      <c r="K480" s="296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</row>
    <row r="481" spans="1:21">
      <c r="A481" s="295"/>
      <c r="B481" s="295"/>
      <c r="C481" s="296"/>
      <c r="D481" s="296"/>
      <c r="E481" s="296"/>
      <c r="F481" s="296"/>
      <c r="G481" s="296"/>
      <c r="H481" s="297"/>
      <c r="I481" s="296"/>
      <c r="J481" s="296"/>
      <c r="K481" s="296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</row>
    <row r="482" spans="1:21">
      <c r="A482" s="295"/>
      <c r="B482" s="295"/>
      <c r="C482" s="296"/>
      <c r="D482" s="296"/>
      <c r="E482" s="296"/>
      <c r="F482" s="296"/>
      <c r="G482" s="296"/>
      <c r="H482" s="297"/>
      <c r="I482" s="296"/>
      <c r="J482" s="296"/>
      <c r="K482" s="296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</row>
    <row r="483" spans="1:21">
      <c r="A483" s="295"/>
      <c r="B483" s="295"/>
      <c r="C483" s="296"/>
      <c r="D483" s="296"/>
      <c r="E483" s="296"/>
      <c r="F483" s="296"/>
      <c r="G483" s="296"/>
      <c r="H483" s="297"/>
      <c r="I483" s="296"/>
      <c r="J483" s="296"/>
      <c r="K483" s="296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</row>
    <row r="484" spans="1:21">
      <c r="A484" s="295"/>
      <c r="B484" s="295"/>
      <c r="C484" s="296"/>
      <c r="D484" s="296"/>
      <c r="E484" s="296"/>
      <c r="F484" s="296"/>
      <c r="G484" s="296"/>
      <c r="H484" s="297"/>
      <c r="I484" s="296"/>
      <c r="J484" s="296"/>
      <c r="K484" s="296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</row>
    <row r="485" spans="1:21">
      <c r="A485" s="295"/>
      <c r="B485" s="295"/>
      <c r="C485" s="296"/>
      <c r="D485" s="296"/>
      <c r="E485" s="296"/>
      <c r="F485" s="296"/>
      <c r="G485" s="296"/>
      <c r="H485" s="297"/>
      <c r="I485" s="296"/>
      <c r="J485" s="296"/>
      <c r="K485" s="296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</row>
    <row r="486" spans="1:21">
      <c r="A486" s="295"/>
      <c r="B486" s="295"/>
      <c r="C486" s="296"/>
      <c r="D486" s="296"/>
      <c r="E486" s="296"/>
      <c r="F486" s="296"/>
      <c r="G486" s="296"/>
      <c r="H486" s="297"/>
      <c r="I486" s="296"/>
      <c r="J486" s="296"/>
      <c r="K486" s="296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</row>
    <row r="487" spans="1:21">
      <c r="A487" s="295"/>
      <c r="B487" s="295"/>
      <c r="C487" s="296"/>
      <c r="D487" s="296"/>
      <c r="E487" s="296"/>
      <c r="F487" s="296"/>
      <c r="G487" s="296"/>
      <c r="H487" s="297"/>
      <c r="I487" s="296"/>
      <c r="J487" s="296"/>
      <c r="K487" s="296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</row>
    <row r="488" spans="1:21">
      <c r="A488" s="295"/>
      <c r="B488" s="295"/>
      <c r="C488" s="296"/>
      <c r="D488" s="296"/>
      <c r="E488" s="296"/>
      <c r="F488" s="296"/>
      <c r="G488" s="296"/>
      <c r="H488" s="297"/>
      <c r="I488" s="296"/>
      <c r="J488" s="296"/>
      <c r="K488" s="296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</row>
    <row r="489" spans="1:21">
      <c r="A489" s="295"/>
      <c r="B489" s="295"/>
      <c r="C489" s="296"/>
      <c r="D489" s="296"/>
      <c r="E489" s="296"/>
      <c r="F489" s="296"/>
      <c r="G489" s="296"/>
      <c r="H489" s="297"/>
      <c r="I489" s="296"/>
      <c r="J489" s="296"/>
      <c r="K489" s="296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</row>
    <row r="490" spans="1:21">
      <c r="A490" s="295"/>
      <c r="B490" s="295"/>
      <c r="C490" s="296"/>
      <c r="D490" s="296"/>
      <c r="E490" s="296"/>
      <c r="F490" s="296"/>
      <c r="G490" s="296"/>
      <c r="H490" s="297"/>
      <c r="I490" s="296"/>
      <c r="J490" s="296"/>
      <c r="K490" s="296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</row>
    <row r="491" spans="1:21">
      <c r="A491" s="295"/>
      <c r="B491" s="295"/>
      <c r="C491" s="296"/>
      <c r="D491" s="296"/>
      <c r="E491" s="296"/>
      <c r="F491" s="296"/>
      <c r="G491" s="296"/>
      <c r="H491" s="297"/>
      <c r="I491" s="296"/>
      <c r="J491" s="296"/>
      <c r="K491" s="296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</row>
    <row r="492" spans="1:21">
      <c r="A492" s="295"/>
      <c r="B492" s="295"/>
      <c r="C492" s="296"/>
      <c r="D492" s="296"/>
      <c r="E492" s="296"/>
      <c r="F492" s="296"/>
      <c r="G492" s="296"/>
      <c r="H492" s="297"/>
      <c r="I492" s="296"/>
      <c r="J492" s="296"/>
      <c r="K492" s="296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</row>
    <row r="493" spans="1:21">
      <c r="A493" s="295"/>
      <c r="B493" s="295"/>
      <c r="C493" s="296"/>
      <c r="D493" s="296"/>
      <c r="E493" s="296"/>
      <c r="F493" s="296"/>
      <c r="G493" s="296"/>
      <c r="H493" s="297"/>
      <c r="I493" s="296"/>
      <c r="J493" s="296"/>
      <c r="K493" s="296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</row>
    <row r="494" spans="1:21">
      <c r="A494" s="295"/>
      <c r="B494" s="295"/>
      <c r="C494" s="296"/>
      <c r="D494" s="296"/>
      <c r="E494" s="296"/>
      <c r="F494" s="296"/>
      <c r="G494" s="296"/>
      <c r="H494" s="297"/>
      <c r="I494" s="296"/>
      <c r="J494" s="296"/>
      <c r="K494" s="296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</row>
    <row r="495" spans="1:21">
      <c r="A495" s="295"/>
      <c r="B495" s="295"/>
      <c r="C495" s="296"/>
      <c r="D495" s="296"/>
      <c r="E495" s="296"/>
      <c r="F495" s="296"/>
      <c r="G495" s="296"/>
      <c r="H495" s="297"/>
      <c r="I495" s="296"/>
      <c r="J495" s="296"/>
      <c r="K495" s="296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</row>
    <row r="496" spans="1:21">
      <c r="A496" s="295"/>
      <c r="B496" s="295"/>
      <c r="C496" s="296"/>
      <c r="D496" s="296"/>
      <c r="E496" s="296"/>
      <c r="F496" s="296"/>
      <c r="G496" s="296"/>
      <c r="H496" s="297"/>
      <c r="I496" s="296"/>
      <c r="J496" s="296"/>
      <c r="K496" s="296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</row>
    <row r="497" spans="1:21">
      <c r="A497" s="295"/>
      <c r="B497" s="295"/>
      <c r="C497" s="296"/>
      <c r="D497" s="296"/>
      <c r="E497" s="296"/>
      <c r="F497" s="296"/>
      <c r="G497" s="296"/>
      <c r="H497" s="297"/>
      <c r="I497" s="296"/>
      <c r="J497" s="296"/>
      <c r="K497" s="296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</row>
    <row r="498" spans="1:21">
      <c r="A498" s="295"/>
      <c r="B498" s="295"/>
      <c r="C498" s="296"/>
      <c r="D498" s="296"/>
      <c r="E498" s="296"/>
      <c r="F498" s="296"/>
      <c r="G498" s="296"/>
      <c r="H498" s="297"/>
      <c r="I498" s="296"/>
      <c r="J498" s="296"/>
      <c r="K498" s="296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</row>
    <row r="499" spans="1:21">
      <c r="A499" s="295"/>
      <c r="B499" s="295"/>
      <c r="C499" s="296"/>
      <c r="D499" s="296"/>
      <c r="E499" s="296"/>
      <c r="F499" s="296"/>
      <c r="G499" s="296"/>
      <c r="H499" s="297"/>
      <c r="I499" s="296"/>
      <c r="J499" s="296"/>
      <c r="K499" s="296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</row>
    <row r="500" spans="1:21">
      <c r="A500" s="295"/>
      <c r="B500" s="295"/>
      <c r="C500" s="296"/>
      <c r="D500" s="296"/>
      <c r="E500" s="296"/>
      <c r="F500" s="296"/>
      <c r="G500" s="296"/>
      <c r="H500" s="297"/>
      <c r="I500" s="296"/>
      <c r="J500" s="296"/>
      <c r="K500" s="296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</row>
    <row r="501" spans="1:21">
      <c r="A501" s="295"/>
      <c r="B501" s="295"/>
      <c r="C501" s="296"/>
      <c r="D501" s="296"/>
      <c r="E501" s="296"/>
      <c r="F501" s="296"/>
      <c r="G501" s="296"/>
      <c r="H501" s="297"/>
      <c r="I501" s="296"/>
      <c r="J501" s="296"/>
      <c r="K501" s="296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</row>
    <row r="502" spans="1:21">
      <c r="A502" s="295"/>
      <c r="B502" s="295"/>
      <c r="C502" s="296"/>
      <c r="D502" s="296"/>
      <c r="E502" s="296"/>
      <c r="F502" s="296"/>
      <c r="G502" s="296"/>
      <c r="H502" s="297"/>
      <c r="I502" s="296"/>
      <c r="J502" s="296"/>
      <c r="K502" s="296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</row>
    <row r="503" spans="1:21">
      <c r="A503" s="295"/>
      <c r="B503" s="295"/>
      <c r="C503" s="296"/>
      <c r="D503" s="296"/>
      <c r="E503" s="296"/>
      <c r="F503" s="296"/>
      <c r="G503" s="296"/>
      <c r="H503" s="297"/>
      <c r="I503" s="296"/>
      <c r="J503" s="296"/>
      <c r="K503" s="296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</row>
    <row r="504" spans="1:21">
      <c r="A504" s="295"/>
      <c r="B504" s="295"/>
      <c r="C504" s="296"/>
      <c r="D504" s="296"/>
      <c r="E504" s="296"/>
      <c r="F504" s="296"/>
      <c r="G504" s="296"/>
      <c r="H504" s="297"/>
      <c r="I504" s="296"/>
      <c r="J504" s="296"/>
      <c r="K504" s="296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</row>
    <row r="505" spans="1:21">
      <c r="A505" s="295"/>
      <c r="B505" s="295"/>
      <c r="C505" s="296"/>
      <c r="D505" s="296"/>
      <c r="E505" s="296"/>
      <c r="F505" s="296"/>
      <c r="G505" s="296"/>
      <c r="H505" s="297"/>
      <c r="I505" s="296"/>
      <c r="J505" s="296"/>
      <c r="K505" s="296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</row>
    <row r="506" spans="1:21">
      <c r="A506" s="295"/>
      <c r="B506" s="295"/>
      <c r="C506" s="296"/>
      <c r="D506" s="296"/>
      <c r="E506" s="296"/>
      <c r="F506" s="296"/>
      <c r="G506" s="296"/>
      <c r="H506" s="297"/>
      <c r="I506" s="296"/>
      <c r="J506" s="296"/>
      <c r="K506" s="296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</row>
    <row r="507" spans="1:21">
      <c r="A507" s="295"/>
      <c r="B507" s="295"/>
      <c r="C507" s="296"/>
      <c r="D507" s="296"/>
      <c r="E507" s="296"/>
      <c r="F507" s="296"/>
      <c r="G507" s="296"/>
      <c r="H507" s="297"/>
      <c r="I507" s="296"/>
      <c r="J507" s="296"/>
      <c r="K507" s="296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</row>
    <row r="508" spans="1:21">
      <c r="A508" s="295"/>
      <c r="B508" s="295"/>
      <c r="C508" s="296"/>
      <c r="D508" s="296"/>
      <c r="E508" s="296"/>
      <c r="F508" s="296"/>
      <c r="G508" s="296"/>
      <c r="H508" s="297"/>
      <c r="I508" s="296"/>
      <c r="J508" s="296"/>
      <c r="K508" s="296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</row>
    <row r="509" spans="1:21">
      <c r="A509" s="295"/>
      <c r="B509" s="295"/>
      <c r="C509" s="296"/>
      <c r="D509" s="296"/>
      <c r="E509" s="296"/>
      <c r="F509" s="296"/>
      <c r="G509" s="296"/>
      <c r="H509" s="297"/>
      <c r="I509" s="296"/>
      <c r="J509" s="296"/>
      <c r="K509" s="296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</row>
    <row r="510" spans="1:21">
      <c r="A510" s="295"/>
      <c r="B510" s="295"/>
      <c r="C510" s="296"/>
      <c r="D510" s="296"/>
      <c r="E510" s="296"/>
      <c r="F510" s="296"/>
      <c r="G510" s="296"/>
      <c r="H510" s="297"/>
      <c r="I510" s="296"/>
      <c r="J510" s="296"/>
      <c r="K510" s="296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</row>
    <row r="511" spans="1:21">
      <c r="A511" s="295"/>
      <c r="B511" s="295"/>
      <c r="C511" s="296"/>
      <c r="D511" s="296"/>
      <c r="E511" s="296"/>
      <c r="F511" s="296"/>
      <c r="G511" s="296"/>
      <c r="H511" s="297"/>
      <c r="I511" s="296"/>
      <c r="J511" s="296"/>
      <c r="K511" s="296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</row>
    <row r="512" spans="1:21">
      <c r="A512" s="295"/>
      <c r="B512" s="295"/>
      <c r="C512" s="296"/>
      <c r="D512" s="296"/>
      <c r="E512" s="296"/>
      <c r="F512" s="296"/>
      <c r="G512" s="296"/>
      <c r="H512" s="297"/>
      <c r="I512" s="296"/>
      <c r="J512" s="296"/>
      <c r="K512" s="296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</row>
    <row r="513" spans="1:21">
      <c r="A513" s="295"/>
      <c r="B513" s="295"/>
      <c r="C513" s="296"/>
      <c r="D513" s="296"/>
      <c r="E513" s="296"/>
      <c r="F513" s="296"/>
      <c r="G513" s="296"/>
      <c r="H513" s="297"/>
      <c r="I513" s="296"/>
      <c r="J513" s="296"/>
      <c r="K513" s="296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</row>
    <row r="514" spans="1:21">
      <c r="A514" s="295"/>
      <c r="B514" s="295"/>
      <c r="C514" s="296"/>
      <c r="D514" s="296"/>
      <c r="E514" s="296"/>
      <c r="F514" s="296"/>
      <c r="G514" s="296"/>
      <c r="H514" s="297"/>
      <c r="I514" s="296"/>
      <c r="J514" s="296"/>
      <c r="K514" s="296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</row>
    <row r="515" spans="1:21">
      <c r="A515" s="295"/>
      <c r="B515" s="295"/>
      <c r="C515" s="296"/>
      <c r="D515" s="296"/>
      <c r="E515" s="296"/>
      <c r="F515" s="296"/>
      <c r="G515" s="296"/>
      <c r="H515" s="297"/>
      <c r="I515" s="296"/>
      <c r="J515" s="296"/>
      <c r="K515" s="296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</row>
    <row r="516" spans="1:21">
      <c r="A516" s="295"/>
      <c r="B516" s="295"/>
      <c r="C516" s="296"/>
      <c r="D516" s="296"/>
      <c r="E516" s="296"/>
      <c r="F516" s="296"/>
      <c r="G516" s="296"/>
      <c r="H516" s="297"/>
      <c r="I516" s="296"/>
      <c r="J516" s="296"/>
      <c r="K516" s="296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</row>
    <row r="517" spans="1:21">
      <c r="A517" s="295"/>
      <c r="B517" s="295"/>
      <c r="C517" s="296"/>
      <c r="D517" s="296"/>
      <c r="E517" s="296"/>
      <c r="F517" s="296"/>
      <c r="G517" s="296"/>
      <c r="H517" s="297"/>
      <c r="I517" s="296"/>
      <c r="J517" s="296"/>
      <c r="K517" s="296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</row>
    <row r="518" spans="1:21">
      <c r="A518" s="295"/>
      <c r="B518" s="295"/>
      <c r="C518" s="296"/>
      <c r="D518" s="296"/>
      <c r="E518" s="296"/>
      <c r="F518" s="296"/>
      <c r="G518" s="296"/>
      <c r="H518" s="297"/>
      <c r="I518" s="296"/>
      <c r="J518" s="296"/>
      <c r="K518" s="296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</row>
    <row r="519" spans="1:21">
      <c r="A519" s="295"/>
      <c r="B519" s="295"/>
      <c r="C519" s="296"/>
      <c r="D519" s="296"/>
      <c r="E519" s="296"/>
      <c r="F519" s="296"/>
      <c r="G519" s="296"/>
      <c r="H519" s="297"/>
      <c r="I519" s="296"/>
      <c r="J519" s="296"/>
      <c r="K519" s="296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</row>
    <row r="520" spans="1:21">
      <c r="A520" s="295"/>
      <c r="B520" s="295"/>
      <c r="C520" s="296"/>
      <c r="D520" s="296"/>
      <c r="E520" s="296"/>
      <c r="F520" s="296"/>
      <c r="G520" s="296"/>
      <c r="H520" s="297"/>
      <c r="I520" s="296"/>
      <c r="J520" s="296"/>
      <c r="K520" s="296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</row>
    <row r="521" spans="1:21">
      <c r="A521" s="295"/>
      <c r="B521" s="295"/>
      <c r="C521" s="296"/>
      <c r="D521" s="296"/>
      <c r="E521" s="296"/>
      <c r="F521" s="296"/>
      <c r="G521" s="296"/>
      <c r="H521" s="297"/>
      <c r="I521" s="296"/>
      <c r="J521" s="296"/>
      <c r="K521" s="296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</row>
    <row r="522" spans="1:21">
      <c r="A522" s="295"/>
      <c r="B522" s="295"/>
      <c r="C522" s="296"/>
      <c r="D522" s="296"/>
      <c r="E522" s="296"/>
      <c r="F522" s="296"/>
      <c r="G522" s="296"/>
      <c r="H522" s="297"/>
      <c r="I522" s="296"/>
      <c r="J522" s="296"/>
      <c r="K522" s="296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</row>
    <row r="523" spans="1:21">
      <c r="A523" s="295"/>
      <c r="B523" s="295"/>
      <c r="C523" s="296"/>
      <c r="D523" s="296"/>
      <c r="E523" s="296"/>
      <c r="F523" s="296"/>
      <c r="G523" s="296"/>
      <c r="H523" s="297"/>
      <c r="I523" s="296"/>
      <c r="J523" s="296"/>
      <c r="K523" s="296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</row>
    <row r="524" spans="1:21">
      <c r="A524" s="295"/>
      <c r="B524" s="295"/>
      <c r="C524" s="296"/>
      <c r="D524" s="296"/>
      <c r="E524" s="296"/>
      <c r="F524" s="296"/>
      <c r="G524" s="296"/>
      <c r="H524" s="297"/>
      <c r="I524" s="296"/>
      <c r="J524" s="296"/>
      <c r="K524" s="296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</row>
    <row r="525" spans="1:21">
      <c r="A525" s="295"/>
      <c r="B525" s="295"/>
      <c r="C525" s="296"/>
      <c r="D525" s="296"/>
      <c r="E525" s="296"/>
      <c r="F525" s="296"/>
      <c r="G525" s="296"/>
      <c r="H525" s="297"/>
      <c r="I525" s="296"/>
      <c r="J525" s="296"/>
      <c r="K525" s="296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</row>
    <row r="526" spans="1:21">
      <c r="A526" s="295"/>
      <c r="B526" s="295"/>
      <c r="C526" s="296"/>
      <c r="D526" s="296"/>
      <c r="E526" s="296"/>
      <c r="F526" s="296"/>
      <c r="G526" s="296"/>
      <c r="H526" s="297"/>
      <c r="I526" s="296"/>
      <c r="J526" s="296"/>
      <c r="K526" s="296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</row>
    <row r="527" spans="1:21">
      <c r="A527" s="295"/>
      <c r="B527" s="295"/>
      <c r="C527" s="296"/>
      <c r="D527" s="296"/>
      <c r="E527" s="296"/>
      <c r="F527" s="296"/>
      <c r="G527" s="296"/>
      <c r="H527" s="297"/>
      <c r="I527" s="296"/>
      <c r="J527" s="296"/>
      <c r="K527" s="296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</row>
    <row r="528" spans="1:21">
      <c r="A528" s="295"/>
      <c r="B528" s="295"/>
      <c r="C528" s="296"/>
      <c r="D528" s="296"/>
      <c r="E528" s="296"/>
      <c r="F528" s="296"/>
      <c r="G528" s="296"/>
      <c r="H528" s="297"/>
      <c r="I528" s="296"/>
      <c r="J528" s="296"/>
      <c r="K528" s="296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</row>
    <row r="529" spans="1:21">
      <c r="A529" s="295"/>
      <c r="B529" s="295"/>
      <c r="C529" s="296"/>
      <c r="D529" s="296"/>
      <c r="E529" s="296"/>
      <c r="F529" s="296"/>
      <c r="G529" s="296"/>
      <c r="H529" s="297"/>
      <c r="I529" s="296"/>
      <c r="J529" s="296"/>
      <c r="K529" s="296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</row>
    <row r="530" spans="1:21">
      <c r="A530" s="295"/>
      <c r="B530" s="295"/>
      <c r="C530" s="296"/>
      <c r="D530" s="296"/>
      <c r="E530" s="296"/>
      <c r="F530" s="296"/>
      <c r="G530" s="296"/>
      <c r="H530" s="297"/>
      <c r="I530" s="296"/>
      <c r="J530" s="296"/>
      <c r="K530" s="296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</row>
    <row r="531" spans="1:21">
      <c r="A531" s="295"/>
      <c r="B531" s="295"/>
      <c r="C531" s="296"/>
      <c r="D531" s="296"/>
      <c r="E531" s="296"/>
      <c r="F531" s="296"/>
      <c r="G531" s="296"/>
      <c r="H531" s="297"/>
      <c r="I531" s="296"/>
      <c r="J531" s="296"/>
      <c r="K531" s="296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</row>
    <row r="532" spans="1:21">
      <c r="A532" s="295"/>
      <c r="B532" s="295"/>
      <c r="C532" s="296"/>
      <c r="D532" s="296"/>
      <c r="E532" s="296"/>
      <c r="F532" s="296"/>
      <c r="G532" s="296"/>
      <c r="H532" s="297"/>
      <c r="I532" s="296"/>
      <c r="J532" s="296"/>
      <c r="K532" s="296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</row>
    <row r="533" spans="1:21">
      <c r="A533" s="295"/>
      <c r="B533" s="295"/>
      <c r="C533" s="296"/>
      <c r="D533" s="296"/>
      <c r="E533" s="296"/>
      <c r="F533" s="296"/>
      <c r="G533" s="296"/>
      <c r="H533" s="297"/>
      <c r="I533" s="296"/>
      <c r="J533" s="296"/>
      <c r="K533" s="296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</row>
    <row r="534" spans="1:21">
      <c r="A534" s="295"/>
      <c r="B534" s="295"/>
      <c r="C534" s="296"/>
      <c r="D534" s="296"/>
      <c r="E534" s="296"/>
      <c r="F534" s="296"/>
      <c r="G534" s="296"/>
      <c r="H534" s="297"/>
      <c r="I534" s="296"/>
      <c r="J534" s="296"/>
      <c r="K534" s="296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</row>
    <row r="535" spans="1:21">
      <c r="A535" s="295"/>
      <c r="B535" s="295"/>
      <c r="C535" s="296"/>
      <c r="D535" s="296"/>
      <c r="E535" s="296"/>
      <c r="F535" s="296"/>
      <c r="G535" s="296"/>
      <c r="H535" s="297"/>
      <c r="I535" s="296"/>
      <c r="J535" s="296"/>
      <c r="K535" s="296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</row>
    <row r="536" spans="1:21">
      <c r="A536" s="295"/>
      <c r="B536" s="295"/>
      <c r="C536" s="296"/>
      <c r="D536" s="296"/>
      <c r="E536" s="296"/>
      <c r="F536" s="296"/>
      <c r="G536" s="296"/>
      <c r="H536" s="297"/>
      <c r="I536" s="296"/>
      <c r="J536" s="296"/>
      <c r="K536" s="296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</row>
    <row r="537" spans="1:21">
      <c r="A537" s="295"/>
      <c r="B537" s="295"/>
      <c r="C537" s="296"/>
      <c r="D537" s="296"/>
      <c r="E537" s="296"/>
      <c r="F537" s="296"/>
      <c r="G537" s="296"/>
      <c r="H537" s="297"/>
      <c r="I537" s="296"/>
      <c r="J537" s="296"/>
      <c r="K537" s="296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</row>
    <row r="538" spans="1:21">
      <c r="A538" s="295"/>
      <c r="B538" s="295"/>
      <c r="C538" s="296"/>
      <c r="D538" s="296"/>
      <c r="E538" s="296"/>
      <c r="F538" s="296"/>
      <c r="G538" s="296"/>
      <c r="H538" s="297"/>
      <c r="I538" s="296"/>
      <c r="J538" s="296"/>
      <c r="K538" s="296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</row>
    <row r="539" spans="1:21">
      <c r="A539" s="295"/>
      <c r="B539" s="295"/>
      <c r="C539" s="296"/>
      <c r="D539" s="296"/>
      <c r="E539" s="296"/>
      <c r="F539" s="296"/>
      <c r="G539" s="296"/>
      <c r="H539" s="297"/>
      <c r="I539" s="296"/>
      <c r="J539" s="296"/>
      <c r="K539" s="296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</row>
    <row r="540" spans="1:21">
      <c r="A540" s="295"/>
      <c r="B540" s="295"/>
      <c r="C540" s="296"/>
      <c r="D540" s="296"/>
      <c r="E540" s="296"/>
      <c r="F540" s="296"/>
      <c r="G540" s="296"/>
      <c r="H540" s="297"/>
      <c r="I540" s="296"/>
      <c r="J540" s="296"/>
      <c r="K540" s="296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</row>
    <row r="541" spans="1:21">
      <c r="A541" s="295"/>
      <c r="B541" s="295"/>
      <c r="C541" s="296"/>
      <c r="D541" s="296"/>
      <c r="E541" s="296"/>
      <c r="F541" s="296"/>
      <c r="G541" s="296"/>
      <c r="H541" s="297"/>
      <c r="I541" s="296"/>
      <c r="J541" s="296"/>
      <c r="K541" s="296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</row>
    <row r="542" spans="1:21">
      <c r="A542" s="295"/>
      <c r="B542" s="295"/>
      <c r="C542" s="296"/>
      <c r="D542" s="296"/>
      <c r="E542" s="296"/>
      <c r="F542" s="296"/>
      <c r="G542" s="296"/>
      <c r="H542" s="297"/>
      <c r="I542" s="296"/>
      <c r="J542" s="296"/>
      <c r="K542" s="296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</row>
    <row r="543" spans="1:21">
      <c r="A543" s="295"/>
      <c r="B543" s="295"/>
      <c r="C543" s="296"/>
      <c r="D543" s="296"/>
      <c r="E543" s="296"/>
      <c r="F543" s="296"/>
      <c r="G543" s="296"/>
      <c r="H543" s="297"/>
      <c r="I543" s="296"/>
      <c r="J543" s="296"/>
      <c r="K543" s="296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</row>
    <row r="544" spans="1:21">
      <c r="A544" s="295"/>
      <c r="B544" s="295"/>
      <c r="C544" s="296"/>
      <c r="D544" s="296"/>
      <c r="E544" s="296"/>
      <c r="F544" s="296"/>
      <c r="G544" s="296"/>
      <c r="H544" s="297"/>
      <c r="I544" s="296"/>
      <c r="J544" s="296"/>
      <c r="K544" s="296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</row>
    <row r="545" spans="1:21">
      <c r="A545" s="295"/>
      <c r="B545" s="295"/>
      <c r="C545" s="296"/>
      <c r="D545" s="296"/>
      <c r="E545" s="296"/>
      <c r="F545" s="296"/>
      <c r="G545" s="296"/>
      <c r="H545" s="297"/>
      <c r="I545" s="296"/>
      <c r="J545" s="296"/>
      <c r="K545" s="296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</row>
    <row r="546" spans="1:21">
      <c r="A546" s="295"/>
      <c r="B546" s="295"/>
      <c r="C546" s="296"/>
      <c r="D546" s="296"/>
      <c r="E546" s="296"/>
      <c r="F546" s="296"/>
      <c r="G546" s="296"/>
      <c r="H546" s="297"/>
      <c r="I546" s="296"/>
      <c r="J546" s="296"/>
      <c r="K546" s="296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</row>
    <row r="547" spans="1:21">
      <c r="A547" s="295"/>
      <c r="B547" s="295"/>
      <c r="C547" s="296"/>
      <c r="D547" s="296"/>
      <c r="E547" s="296"/>
      <c r="F547" s="296"/>
      <c r="G547" s="296"/>
      <c r="H547" s="297"/>
      <c r="I547" s="296"/>
      <c r="J547" s="296"/>
      <c r="K547" s="296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</row>
    <row r="548" spans="1:21">
      <c r="A548" s="295"/>
      <c r="B548" s="295"/>
      <c r="C548" s="296"/>
      <c r="D548" s="296"/>
      <c r="E548" s="296"/>
      <c r="F548" s="296"/>
      <c r="G548" s="296"/>
      <c r="H548" s="297"/>
      <c r="I548" s="296"/>
      <c r="J548" s="296"/>
      <c r="K548" s="296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</row>
    <row r="549" spans="1:21">
      <c r="A549" s="295"/>
      <c r="B549" s="295"/>
      <c r="C549" s="296"/>
      <c r="D549" s="296"/>
      <c r="E549" s="296"/>
      <c r="F549" s="296"/>
      <c r="G549" s="296"/>
      <c r="H549" s="297"/>
      <c r="I549" s="296"/>
      <c r="J549" s="296"/>
      <c r="K549" s="296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</row>
    <row r="550" spans="1:21">
      <c r="A550" s="295"/>
      <c r="B550" s="295"/>
      <c r="C550" s="296"/>
      <c r="D550" s="296"/>
      <c r="E550" s="296"/>
      <c r="F550" s="296"/>
      <c r="G550" s="296"/>
      <c r="H550" s="297"/>
      <c r="I550" s="296"/>
      <c r="J550" s="296"/>
      <c r="K550" s="296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</row>
    <row r="551" spans="1:21">
      <c r="A551" s="295"/>
      <c r="B551" s="295"/>
      <c r="C551" s="296"/>
      <c r="D551" s="296"/>
      <c r="E551" s="296"/>
      <c r="F551" s="296"/>
      <c r="G551" s="296"/>
      <c r="H551" s="297"/>
      <c r="I551" s="296"/>
      <c r="J551" s="296"/>
      <c r="K551" s="296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</row>
    <row r="552" spans="1:21">
      <c r="A552" s="295"/>
      <c r="B552" s="295"/>
      <c r="C552" s="296"/>
      <c r="D552" s="296"/>
      <c r="E552" s="296"/>
      <c r="F552" s="296"/>
      <c r="G552" s="296"/>
      <c r="H552" s="297"/>
      <c r="I552" s="296"/>
      <c r="J552" s="296"/>
      <c r="K552" s="296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</row>
    <row r="553" spans="1:21">
      <c r="A553" s="295"/>
      <c r="B553" s="295"/>
      <c r="C553" s="296"/>
      <c r="D553" s="296"/>
      <c r="E553" s="296"/>
      <c r="F553" s="296"/>
      <c r="G553" s="296"/>
      <c r="H553" s="297"/>
      <c r="I553" s="296"/>
      <c r="J553" s="296"/>
      <c r="K553" s="296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</row>
    <row r="554" spans="1:21">
      <c r="A554" s="295"/>
      <c r="B554" s="295"/>
      <c r="C554" s="296"/>
      <c r="D554" s="296"/>
      <c r="E554" s="296"/>
      <c r="F554" s="296"/>
      <c r="G554" s="296"/>
      <c r="H554" s="297"/>
      <c r="I554" s="296"/>
      <c r="J554" s="296"/>
      <c r="K554" s="296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</row>
    <row r="555" spans="1:21">
      <c r="A555" s="295"/>
      <c r="B555" s="295"/>
      <c r="C555" s="296"/>
      <c r="D555" s="296"/>
      <c r="E555" s="296"/>
      <c r="F555" s="296"/>
      <c r="G555" s="296"/>
      <c r="H555" s="297"/>
      <c r="I555" s="296"/>
      <c r="J555" s="296"/>
      <c r="K555" s="296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</row>
    <row r="556" spans="1:21">
      <c r="A556" s="295"/>
      <c r="B556" s="295"/>
      <c r="C556" s="296"/>
      <c r="D556" s="296"/>
      <c r="E556" s="296"/>
      <c r="F556" s="296"/>
      <c r="G556" s="296"/>
      <c r="H556" s="297"/>
      <c r="I556" s="296"/>
      <c r="J556" s="296"/>
      <c r="K556" s="296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</row>
    <row r="557" spans="1:21">
      <c r="A557" s="295"/>
      <c r="B557" s="295"/>
      <c r="C557" s="296"/>
      <c r="D557" s="296"/>
      <c r="E557" s="296"/>
      <c r="F557" s="296"/>
      <c r="G557" s="296"/>
      <c r="H557" s="297"/>
      <c r="I557" s="296"/>
      <c r="J557" s="296"/>
      <c r="K557" s="296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</row>
    <row r="558" spans="1:21">
      <c r="A558" s="295"/>
      <c r="B558" s="295"/>
      <c r="C558" s="296"/>
      <c r="D558" s="296"/>
      <c r="E558" s="296"/>
      <c r="F558" s="296"/>
      <c r="G558" s="296"/>
      <c r="H558" s="297"/>
      <c r="I558" s="296"/>
      <c r="J558" s="296"/>
      <c r="K558" s="296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</row>
    <row r="559" spans="1:21">
      <c r="A559" s="295"/>
      <c r="B559" s="295"/>
      <c r="C559" s="296"/>
      <c r="D559" s="296"/>
      <c r="E559" s="296"/>
      <c r="F559" s="296"/>
      <c r="G559" s="296"/>
      <c r="H559" s="297"/>
      <c r="I559" s="296"/>
      <c r="J559" s="296"/>
      <c r="K559" s="296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</row>
    <row r="560" spans="1:21">
      <c r="A560" s="295"/>
      <c r="B560" s="295"/>
      <c r="C560" s="296"/>
      <c r="D560" s="296"/>
      <c r="E560" s="296"/>
      <c r="F560" s="296"/>
      <c r="G560" s="296"/>
      <c r="H560" s="297"/>
      <c r="I560" s="296"/>
      <c r="J560" s="296"/>
      <c r="K560" s="296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</row>
    <row r="561" spans="1:21">
      <c r="A561" s="295"/>
      <c r="B561" s="295"/>
      <c r="C561" s="296"/>
      <c r="D561" s="296"/>
      <c r="E561" s="296"/>
      <c r="F561" s="296"/>
      <c r="G561" s="296"/>
      <c r="H561" s="297"/>
      <c r="I561" s="296"/>
      <c r="J561" s="296"/>
      <c r="K561" s="296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</row>
    <row r="562" spans="1:21">
      <c r="A562" s="295"/>
      <c r="B562" s="295"/>
      <c r="C562" s="296"/>
      <c r="D562" s="296"/>
      <c r="E562" s="296"/>
      <c r="F562" s="296"/>
      <c r="G562" s="296"/>
      <c r="H562" s="297"/>
      <c r="I562" s="296"/>
      <c r="J562" s="296"/>
      <c r="K562" s="296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</row>
    <row r="563" spans="1:21">
      <c r="A563" s="295"/>
      <c r="B563" s="295"/>
      <c r="C563" s="296"/>
      <c r="D563" s="296"/>
      <c r="E563" s="296"/>
      <c r="F563" s="296"/>
      <c r="G563" s="296"/>
      <c r="H563" s="297"/>
      <c r="I563" s="296"/>
      <c r="J563" s="296"/>
      <c r="K563" s="296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</row>
    <row r="564" spans="1:21">
      <c r="A564" s="295"/>
      <c r="B564" s="295"/>
      <c r="C564" s="296"/>
      <c r="D564" s="296"/>
      <c r="E564" s="296"/>
      <c r="F564" s="296"/>
      <c r="G564" s="296"/>
      <c r="H564" s="297"/>
      <c r="I564" s="296"/>
      <c r="J564" s="296"/>
      <c r="K564" s="296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</row>
    <row r="565" spans="1:21">
      <c r="A565" s="295"/>
      <c r="B565" s="295"/>
      <c r="C565" s="296"/>
      <c r="D565" s="296"/>
      <c r="E565" s="296"/>
      <c r="F565" s="296"/>
      <c r="G565" s="296"/>
      <c r="H565" s="297"/>
      <c r="I565" s="296"/>
      <c r="J565" s="296"/>
      <c r="K565" s="296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</row>
    <row r="566" spans="1:21">
      <c r="A566" s="295"/>
      <c r="B566" s="295"/>
      <c r="C566" s="296"/>
      <c r="D566" s="296"/>
      <c r="E566" s="296"/>
      <c r="F566" s="296"/>
      <c r="G566" s="296"/>
      <c r="H566" s="297"/>
      <c r="I566" s="296"/>
      <c r="J566" s="296"/>
      <c r="K566" s="296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</row>
    <row r="567" spans="1:21">
      <c r="A567" s="295"/>
      <c r="B567" s="295"/>
      <c r="C567" s="296"/>
      <c r="D567" s="296"/>
      <c r="E567" s="296"/>
      <c r="F567" s="296"/>
      <c r="G567" s="296"/>
      <c r="H567" s="297"/>
      <c r="I567" s="296"/>
      <c r="J567" s="296"/>
      <c r="K567" s="296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</row>
    <row r="568" spans="1:21">
      <c r="A568" s="295"/>
      <c r="B568" s="295"/>
      <c r="C568" s="296"/>
      <c r="D568" s="296"/>
      <c r="E568" s="296"/>
      <c r="F568" s="296"/>
      <c r="G568" s="296"/>
      <c r="H568" s="297"/>
      <c r="I568" s="296"/>
      <c r="J568" s="296"/>
      <c r="K568" s="296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</row>
    <row r="569" spans="1:21">
      <c r="A569" s="295"/>
      <c r="B569" s="295"/>
      <c r="C569" s="296"/>
      <c r="D569" s="296"/>
      <c r="E569" s="296"/>
      <c r="F569" s="296"/>
      <c r="G569" s="296"/>
      <c r="H569" s="297"/>
      <c r="I569" s="296"/>
      <c r="J569" s="296"/>
      <c r="K569" s="296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</row>
    <row r="570" spans="1:21">
      <c r="A570" s="295"/>
      <c r="B570" s="295"/>
      <c r="C570" s="296"/>
      <c r="D570" s="296"/>
      <c r="E570" s="296"/>
      <c r="F570" s="296"/>
      <c r="G570" s="296"/>
      <c r="H570" s="297"/>
      <c r="I570" s="296"/>
      <c r="J570" s="296"/>
      <c r="K570" s="296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</row>
    <row r="571" spans="1:21">
      <c r="A571" s="295"/>
      <c r="B571" s="295"/>
      <c r="C571" s="296"/>
      <c r="D571" s="296"/>
      <c r="E571" s="296"/>
      <c r="F571" s="296"/>
      <c r="G571" s="296"/>
      <c r="H571" s="297"/>
      <c r="I571" s="296"/>
      <c r="J571" s="296"/>
      <c r="K571" s="296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</row>
    <row r="572" spans="1:21">
      <c r="A572" s="295"/>
      <c r="B572" s="295"/>
      <c r="C572" s="296"/>
      <c r="D572" s="296"/>
      <c r="E572" s="296"/>
      <c r="F572" s="296"/>
      <c r="G572" s="296"/>
      <c r="H572" s="297"/>
      <c r="I572" s="296"/>
      <c r="J572" s="296"/>
      <c r="K572" s="296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</row>
    <row r="573" spans="1:21">
      <c r="A573" s="295"/>
      <c r="B573" s="295"/>
      <c r="C573" s="296"/>
      <c r="D573" s="296"/>
      <c r="E573" s="296"/>
      <c r="F573" s="296"/>
      <c r="G573" s="296"/>
      <c r="H573" s="297"/>
      <c r="I573" s="296"/>
      <c r="J573" s="296"/>
      <c r="K573" s="296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</row>
    <row r="574" spans="1:21">
      <c r="A574" s="295"/>
      <c r="B574" s="295"/>
      <c r="C574" s="296"/>
      <c r="D574" s="296"/>
      <c r="E574" s="296"/>
      <c r="F574" s="296"/>
      <c r="G574" s="296"/>
      <c r="H574" s="297"/>
      <c r="I574" s="296"/>
      <c r="J574" s="296"/>
      <c r="K574" s="296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</row>
    <row r="575" spans="1:21">
      <c r="A575" s="295"/>
      <c r="B575" s="295"/>
      <c r="C575" s="296"/>
      <c r="D575" s="296"/>
      <c r="E575" s="296"/>
      <c r="F575" s="296"/>
      <c r="G575" s="296"/>
      <c r="H575" s="297"/>
      <c r="I575" s="296"/>
      <c r="J575" s="296"/>
      <c r="K575" s="296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</row>
    <row r="576" spans="1:21">
      <c r="A576" s="295"/>
      <c r="B576" s="295"/>
      <c r="C576" s="296"/>
      <c r="D576" s="296"/>
      <c r="E576" s="296"/>
      <c r="F576" s="296"/>
      <c r="G576" s="296"/>
      <c r="H576" s="297"/>
      <c r="I576" s="296"/>
      <c r="J576" s="296"/>
      <c r="K576" s="296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</row>
    <row r="577" spans="1:21">
      <c r="A577" s="295"/>
      <c r="B577" s="295"/>
      <c r="C577" s="296"/>
      <c r="D577" s="296"/>
      <c r="E577" s="296"/>
      <c r="F577" s="296"/>
      <c r="G577" s="296"/>
      <c r="H577" s="297"/>
      <c r="I577" s="296"/>
      <c r="J577" s="296"/>
      <c r="K577" s="296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</row>
    <row r="578" spans="1:21">
      <c r="A578" s="295"/>
      <c r="B578" s="295"/>
      <c r="C578" s="296"/>
      <c r="D578" s="296"/>
      <c r="E578" s="296"/>
      <c r="F578" s="296"/>
      <c r="G578" s="296"/>
      <c r="H578" s="297"/>
      <c r="I578" s="296"/>
      <c r="J578" s="296"/>
      <c r="K578" s="296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</row>
    <row r="579" spans="1:21">
      <c r="A579" s="295"/>
      <c r="B579" s="295"/>
      <c r="C579" s="296"/>
      <c r="D579" s="296"/>
      <c r="E579" s="296"/>
      <c r="F579" s="296"/>
      <c r="G579" s="296"/>
      <c r="H579" s="297"/>
      <c r="I579" s="296"/>
      <c r="J579" s="296"/>
      <c r="K579" s="296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</row>
    <row r="580" spans="1:21">
      <c r="A580" s="295"/>
      <c r="B580" s="295"/>
      <c r="C580" s="296"/>
      <c r="D580" s="296"/>
      <c r="E580" s="296"/>
      <c r="F580" s="296"/>
      <c r="G580" s="296"/>
      <c r="H580" s="297"/>
      <c r="I580" s="296"/>
      <c r="J580" s="296"/>
      <c r="K580" s="296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</row>
    <row r="581" spans="1:21">
      <c r="A581" s="295"/>
      <c r="B581" s="295"/>
      <c r="C581" s="296"/>
      <c r="D581" s="296"/>
      <c r="E581" s="296"/>
      <c r="F581" s="296"/>
      <c r="G581" s="296"/>
      <c r="H581" s="297"/>
      <c r="I581" s="296"/>
      <c r="J581" s="296"/>
      <c r="K581" s="296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</row>
    <row r="582" spans="1:21">
      <c r="A582" s="295"/>
      <c r="B582" s="295"/>
      <c r="C582" s="296"/>
      <c r="D582" s="296"/>
      <c r="E582" s="296"/>
      <c r="F582" s="296"/>
      <c r="G582" s="296"/>
      <c r="H582" s="297"/>
      <c r="I582" s="296"/>
      <c r="J582" s="296"/>
      <c r="K582" s="296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</row>
    <row r="583" spans="1:21">
      <c r="A583" s="295"/>
      <c r="B583" s="295"/>
      <c r="C583" s="296"/>
      <c r="D583" s="296"/>
      <c r="E583" s="296"/>
      <c r="F583" s="296"/>
      <c r="G583" s="296"/>
      <c r="H583" s="297"/>
      <c r="I583" s="296"/>
      <c r="J583" s="296"/>
      <c r="K583" s="296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</row>
    <row r="584" spans="1:21">
      <c r="A584" s="295"/>
      <c r="B584" s="295"/>
      <c r="C584" s="296"/>
      <c r="D584" s="296"/>
      <c r="E584" s="296"/>
      <c r="F584" s="296"/>
      <c r="G584" s="296"/>
      <c r="H584" s="297"/>
      <c r="I584" s="296"/>
      <c r="J584" s="296"/>
      <c r="K584" s="296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</row>
    <row r="585" spans="1:21">
      <c r="A585" s="295"/>
      <c r="B585" s="295"/>
      <c r="C585" s="296"/>
      <c r="D585" s="296"/>
      <c r="E585" s="296"/>
      <c r="F585" s="296"/>
      <c r="G585" s="296"/>
      <c r="H585" s="297"/>
      <c r="I585" s="296"/>
      <c r="J585" s="296"/>
      <c r="K585" s="296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</row>
    <row r="586" spans="1:21">
      <c r="A586" s="295"/>
      <c r="B586" s="295"/>
      <c r="C586" s="296"/>
      <c r="D586" s="296"/>
      <c r="E586" s="296"/>
      <c r="F586" s="296"/>
      <c r="G586" s="296"/>
      <c r="H586" s="297"/>
      <c r="I586" s="296"/>
      <c r="J586" s="296"/>
      <c r="K586" s="296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</row>
    <row r="587" spans="1:21">
      <c r="A587" s="295"/>
      <c r="B587" s="295"/>
      <c r="C587" s="296"/>
      <c r="D587" s="296"/>
      <c r="E587" s="296"/>
      <c r="F587" s="296"/>
      <c r="G587" s="296"/>
      <c r="H587" s="297"/>
      <c r="I587" s="296"/>
      <c r="J587" s="296"/>
      <c r="K587" s="296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</row>
    <row r="588" spans="1:21">
      <c r="A588" s="295"/>
      <c r="B588" s="295"/>
      <c r="C588" s="296"/>
      <c r="D588" s="296"/>
      <c r="E588" s="296"/>
      <c r="F588" s="296"/>
      <c r="G588" s="296"/>
      <c r="H588" s="297"/>
      <c r="I588" s="296"/>
      <c r="J588" s="296"/>
      <c r="K588" s="296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</row>
    <row r="589" spans="1:21">
      <c r="A589" s="295"/>
      <c r="B589" s="295"/>
      <c r="C589" s="296"/>
      <c r="D589" s="296"/>
      <c r="E589" s="296"/>
      <c r="F589" s="296"/>
      <c r="G589" s="296"/>
      <c r="H589" s="297"/>
      <c r="I589" s="296"/>
      <c r="J589" s="296"/>
      <c r="K589" s="296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</row>
    <row r="590" spans="1:21">
      <c r="A590" s="295"/>
      <c r="B590" s="295"/>
      <c r="C590" s="296"/>
      <c r="D590" s="296"/>
      <c r="E590" s="296"/>
      <c r="F590" s="296"/>
      <c r="G590" s="296"/>
      <c r="H590" s="297"/>
      <c r="I590" s="296"/>
      <c r="J590" s="296"/>
      <c r="K590" s="296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</row>
    <row r="591" spans="1:21">
      <c r="A591" s="295"/>
      <c r="B591" s="295"/>
      <c r="C591" s="296"/>
      <c r="D591" s="296"/>
      <c r="E591" s="296"/>
      <c r="F591" s="296"/>
      <c r="G591" s="296"/>
      <c r="H591" s="297"/>
      <c r="I591" s="296"/>
      <c r="J591" s="296"/>
      <c r="K591" s="296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</row>
    <row r="592" spans="1:21">
      <c r="A592" s="295"/>
      <c r="B592" s="295"/>
      <c r="C592" s="296"/>
      <c r="D592" s="296"/>
      <c r="E592" s="296"/>
      <c r="F592" s="296"/>
      <c r="G592" s="296"/>
      <c r="H592" s="297"/>
      <c r="I592" s="296"/>
      <c r="J592" s="296"/>
      <c r="K592" s="296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</row>
    <row r="593" spans="1:21">
      <c r="A593" s="295"/>
      <c r="B593" s="295"/>
      <c r="C593" s="296"/>
      <c r="D593" s="296"/>
      <c r="E593" s="296"/>
      <c r="F593" s="296"/>
      <c r="G593" s="296"/>
      <c r="H593" s="297"/>
      <c r="I593" s="296"/>
      <c r="J593" s="296"/>
      <c r="K593" s="296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</row>
    <row r="594" spans="1:21">
      <c r="A594" s="295"/>
      <c r="B594" s="295"/>
      <c r="C594" s="296"/>
      <c r="D594" s="296"/>
      <c r="E594" s="296"/>
      <c r="F594" s="296"/>
      <c r="G594" s="296"/>
      <c r="H594" s="297"/>
      <c r="I594" s="296"/>
      <c r="J594" s="296"/>
      <c r="K594" s="296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</row>
    <row r="595" spans="1:21">
      <c r="A595" s="295"/>
      <c r="B595" s="295"/>
      <c r="C595" s="296"/>
      <c r="D595" s="296"/>
      <c r="E595" s="296"/>
      <c r="F595" s="296"/>
      <c r="G595" s="296"/>
      <c r="H595" s="297"/>
      <c r="I595" s="296"/>
      <c r="J595" s="296"/>
      <c r="K595" s="296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</row>
    <row r="596" spans="1:21">
      <c r="A596" s="295"/>
      <c r="B596" s="295"/>
      <c r="C596" s="296"/>
      <c r="D596" s="296"/>
      <c r="E596" s="296"/>
      <c r="F596" s="296"/>
      <c r="G596" s="296"/>
      <c r="H596" s="297"/>
      <c r="I596" s="296"/>
      <c r="J596" s="296"/>
      <c r="K596" s="296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</row>
    <row r="597" spans="1:21">
      <c r="A597" s="295"/>
      <c r="B597" s="295"/>
      <c r="C597" s="296"/>
      <c r="D597" s="296"/>
      <c r="E597" s="296"/>
      <c r="F597" s="296"/>
      <c r="G597" s="296"/>
      <c r="H597" s="297"/>
      <c r="I597" s="296"/>
      <c r="J597" s="296"/>
      <c r="K597" s="296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</row>
    <row r="598" spans="1:21">
      <c r="A598" s="295"/>
      <c r="B598" s="295"/>
      <c r="C598" s="296"/>
      <c r="D598" s="296"/>
      <c r="E598" s="296"/>
      <c r="F598" s="296"/>
      <c r="G598" s="296"/>
      <c r="H598" s="297"/>
      <c r="I598" s="296"/>
      <c r="J598" s="296"/>
      <c r="K598" s="296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</row>
    <row r="599" spans="1:21">
      <c r="A599" s="295"/>
      <c r="B599" s="295"/>
      <c r="C599" s="296"/>
      <c r="D599" s="296"/>
      <c r="E599" s="296"/>
      <c r="F599" s="296"/>
      <c r="G599" s="296"/>
      <c r="H599" s="297"/>
      <c r="I599" s="296"/>
      <c r="J599" s="296"/>
      <c r="K599" s="296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</row>
    <row r="600" spans="1:21">
      <c r="A600" s="295"/>
      <c r="B600" s="295"/>
      <c r="C600" s="296"/>
      <c r="D600" s="296"/>
      <c r="E600" s="296"/>
      <c r="F600" s="296"/>
      <c r="G600" s="296"/>
      <c r="H600" s="297"/>
      <c r="I600" s="296"/>
      <c r="J600" s="296"/>
      <c r="K600" s="296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</row>
    <row r="601" spans="1:21">
      <c r="A601" s="295"/>
      <c r="B601" s="295"/>
      <c r="C601" s="296"/>
      <c r="D601" s="296"/>
      <c r="E601" s="296"/>
      <c r="F601" s="296"/>
      <c r="G601" s="296"/>
      <c r="H601" s="297"/>
      <c r="I601" s="296"/>
      <c r="J601" s="296"/>
      <c r="K601" s="296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</row>
    <row r="602" spans="1:21">
      <c r="A602" s="295"/>
      <c r="B602" s="295"/>
      <c r="C602" s="296"/>
      <c r="D602" s="296"/>
      <c r="E602" s="296"/>
      <c r="F602" s="296"/>
      <c r="G602" s="296"/>
      <c r="H602" s="297"/>
      <c r="I602" s="296"/>
      <c r="J602" s="296"/>
      <c r="K602" s="296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</row>
    <row r="603" spans="1:21">
      <c r="A603" s="295"/>
      <c r="B603" s="295"/>
      <c r="C603" s="296"/>
      <c r="D603" s="296"/>
      <c r="E603" s="296"/>
      <c r="F603" s="296"/>
      <c r="G603" s="296"/>
      <c r="H603" s="297"/>
      <c r="I603" s="296"/>
      <c r="J603" s="296"/>
      <c r="K603" s="296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</row>
    <row r="604" spans="1:21">
      <c r="A604" s="295"/>
      <c r="B604" s="295"/>
      <c r="C604" s="296"/>
      <c r="D604" s="296"/>
      <c r="E604" s="296"/>
      <c r="F604" s="296"/>
      <c r="G604" s="296"/>
      <c r="H604" s="297"/>
      <c r="I604" s="296"/>
      <c r="J604" s="296"/>
      <c r="K604" s="296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</row>
    <row r="605" spans="1:21">
      <c r="A605" s="295"/>
      <c r="B605" s="295"/>
      <c r="C605" s="296"/>
      <c r="D605" s="296"/>
      <c r="E605" s="296"/>
      <c r="F605" s="296"/>
      <c r="G605" s="296"/>
      <c r="H605" s="297"/>
      <c r="I605" s="296"/>
      <c r="J605" s="296"/>
      <c r="K605" s="296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</row>
    <row r="606" spans="1:21">
      <c r="A606" s="295"/>
      <c r="B606" s="295"/>
      <c r="C606" s="296"/>
      <c r="D606" s="296"/>
      <c r="E606" s="296"/>
      <c r="F606" s="296"/>
      <c r="G606" s="296"/>
      <c r="H606" s="297"/>
      <c r="I606" s="296"/>
      <c r="J606" s="296"/>
      <c r="K606" s="296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</row>
    <row r="607" spans="1:21">
      <c r="A607" s="295"/>
      <c r="B607" s="295"/>
      <c r="C607" s="296"/>
      <c r="D607" s="296"/>
      <c r="E607" s="296"/>
      <c r="F607" s="296"/>
      <c r="G607" s="296"/>
      <c r="H607" s="297"/>
      <c r="I607" s="296"/>
      <c r="J607" s="296"/>
      <c r="K607" s="296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</row>
    <row r="608" spans="1:21">
      <c r="A608" s="295"/>
      <c r="B608" s="295"/>
      <c r="C608" s="296"/>
      <c r="D608" s="296"/>
      <c r="E608" s="296"/>
      <c r="F608" s="296"/>
      <c r="G608" s="296"/>
      <c r="H608" s="297"/>
      <c r="I608" s="296"/>
      <c r="J608" s="296"/>
      <c r="K608" s="296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</row>
    <row r="609" spans="1:21">
      <c r="A609" s="295"/>
      <c r="B609" s="295"/>
      <c r="C609" s="296"/>
      <c r="D609" s="296"/>
      <c r="E609" s="296"/>
      <c r="F609" s="296"/>
      <c r="G609" s="296"/>
      <c r="H609" s="297"/>
      <c r="I609" s="296"/>
      <c r="J609" s="296"/>
      <c r="K609" s="296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</row>
    <row r="610" spans="1:21">
      <c r="A610" s="295"/>
      <c r="B610" s="295"/>
      <c r="C610" s="296"/>
      <c r="D610" s="296"/>
      <c r="E610" s="296"/>
      <c r="F610" s="296"/>
      <c r="G610" s="296"/>
      <c r="H610" s="297"/>
      <c r="I610" s="296"/>
      <c r="J610" s="296"/>
      <c r="K610" s="296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</row>
    <row r="611" spans="1:21">
      <c r="A611" s="295"/>
      <c r="B611" s="295"/>
      <c r="C611" s="296"/>
      <c r="D611" s="296"/>
      <c r="E611" s="296"/>
      <c r="F611" s="296"/>
      <c r="G611" s="296"/>
      <c r="H611" s="297"/>
      <c r="I611" s="296"/>
      <c r="J611" s="296"/>
      <c r="K611" s="296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</row>
    <row r="612" spans="1:21">
      <c r="A612" s="295"/>
      <c r="B612" s="295"/>
      <c r="C612" s="296"/>
      <c r="D612" s="296"/>
      <c r="E612" s="296"/>
      <c r="F612" s="296"/>
      <c r="G612" s="296"/>
      <c r="H612" s="297"/>
      <c r="I612" s="296"/>
      <c r="J612" s="296"/>
      <c r="K612" s="296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</row>
    <row r="613" spans="1:21">
      <c r="A613" s="295"/>
      <c r="B613" s="295"/>
      <c r="C613" s="296"/>
      <c r="D613" s="296"/>
      <c r="E613" s="296"/>
      <c r="F613" s="296"/>
      <c r="G613" s="296"/>
      <c r="H613" s="297"/>
      <c r="I613" s="296"/>
      <c r="J613" s="296"/>
      <c r="K613" s="296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</row>
    <row r="614" spans="1:21">
      <c r="A614" s="295"/>
      <c r="B614" s="295"/>
      <c r="C614" s="296"/>
      <c r="D614" s="296"/>
      <c r="E614" s="296"/>
      <c r="F614" s="296"/>
      <c r="G614" s="296"/>
      <c r="H614" s="297"/>
      <c r="I614" s="296"/>
      <c r="J614" s="296"/>
      <c r="K614" s="296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</row>
    <row r="615" spans="1:21">
      <c r="A615" s="295"/>
      <c r="B615" s="295"/>
      <c r="C615" s="296"/>
      <c r="D615" s="296"/>
      <c r="E615" s="296"/>
      <c r="F615" s="296"/>
      <c r="G615" s="296"/>
      <c r="H615" s="297"/>
      <c r="I615" s="296"/>
      <c r="J615" s="296"/>
      <c r="K615" s="296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</row>
    <row r="616" spans="1:21">
      <c r="A616" s="295"/>
      <c r="B616" s="295"/>
      <c r="C616" s="296"/>
      <c r="D616" s="296"/>
      <c r="E616" s="296"/>
      <c r="F616" s="296"/>
      <c r="G616" s="296"/>
      <c r="H616" s="297"/>
      <c r="I616" s="296"/>
      <c r="J616" s="296"/>
      <c r="K616" s="296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</row>
    <row r="617" spans="1:21">
      <c r="A617" s="295"/>
      <c r="B617" s="295"/>
      <c r="C617" s="296"/>
      <c r="D617" s="296"/>
      <c r="E617" s="296"/>
      <c r="F617" s="296"/>
      <c r="G617" s="296"/>
      <c r="H617" s="297"/>
      <c r="I617" s="296"/>
      <c r="J617" s="296"/>
      <c r="K617" s="296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</row>
    <row r="618" spans="1:21">
      <c r="A618" s="295"/>
      <c r="B618" s="295"/>
      <c r="C618" s="296"/>
      <c r="D618" s="296"/>
      <c r="E618" s="296"/>
      <c r="F618" s="296"/>
      <c r="G618" s="296"/>
      <c r="H618" s="297"/>
      <c r="I618" s="296"/>
      <c r="J618" s="296"/>
      <c r="K618" s="296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</row>
    <row r="619" spans="1:21">
      <c r="A619" s="295"/>
      <c r="B619" s="295"/>
      <c r="C619" s="296"/>
      <c r="D619" s="296"/>
      <c r="E619" s="296"/>
      <c r="F619" s="296"/>
      <c r="G619" s="296"/>
      <c r="H619" s="297"/>
      <c r="I619" s="296"/>
      <c r="J619" s="296"/>
      <c r="K619" s="296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</row>
    <row r="620" spans="1:21">
      <c r="A620" s="295"/>
      <c r="B620" s="295"/>
      <c r="C620" s="296"/>
      <c r="D620" s="296"/>
      <c r="E620" s="296"/>
      <c r="F620" s="296"/>
      <c r="G620" s="296"/>
      <c r="H620" s="297"/>
      <c r="I620" s="296"/>
      <c r="J620" s="296"/>
      <c r="K620" s="296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</row>
    <row r="621" spans="1:21">
      <c r="A621" s="295"/>
      <c r="B621" s="295"/>
      <c r="C621" s="296"/>
      <c r="D621" s="296"/>
      <c r="E621" s="296"/>
      <c r="F621" s="296"/>
      <c r="G621" s="296"/>
      <c r="H621" s="297"/>
      <c r="I621" s="296"/>
      <c r="J621" s="296"/>
      <c r="K621" s="296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</row>
    <row r="622" spans="1:21">
      <c r="A622" s="295"/>
      <c r="B622" s="295"/>
      <c r="C622" s="296"/>
      <c r="D622" s="296"/>
      <c r="E622" s="296"/>
      <c r="F622" s="296"/>
      <c r="G622" s="296"/>
      <c r="H622" s="297"/>
      <c r="I622" s="296"/>
      <c r="J622" s="296"/>
      <c r="K622" s="296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</row>
    <row r="623" spans="1:21">
      <c r="A623" s="295"/>
      <c r="B623" s="295"/>
      <c r="C623" s="296"/>
      <c r="D623" s="296"/>
      <c r="E623" s="296"/>
      <c r="F623" s="296"/>
      <c r="G623" s="296"/>
      <c r="H623" s="297"/>
      <c r="I623" s="296"/>
      <c r="J623" s="296"/>
      <c r="K623" s="296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</row>
    <row r="624" spans="1:21">
      <c r="A624" s="295"/>
      <c r="B624" s="295"/>
      <c r="C624" s="296"/>
      <c r="D624" s="296"/>
      <c r="E624" s="296"/>
      <c r="F624" s="296"/>
      <c r="G624" s="296"/>
      <c r="H624" s="297"/>
      <c r="I624" s="296"/>
      <c r="J624" s="296"/>
      <c r="K624" s="296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</row>
    <row r="625" spans="1:21">
      <c r="A625" s="295"/>
      <c r="B625" s="295"/>
      <c r="C625" s="296"/>
      <c r="D625" s="296"/>
      <c r="E625" s="296"/>
      <c r="F625" s="296"/>
      <c r="G625" s="296"/>
      <c r="H625" s="297"/>
      <c r="I625" s="296"/>
      <c r="J625" s="296"/>
      <c r="K625" s="296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</row>
    <row r="626" spans="1:21">
      <c r="A626" s="295"/>
      <c r="B626" s="295"/>
      <c r="C626" s="296"/>
      <c r="D626" s="296"/>
      <c r="E626" s="296"/>
      <c r="F626" s="296"/>
      <c r="G626" s="296"/>
      <c r="H626" s="297"/>
      <c r="I626" s="296"/>
      <c r="J626" s="296"/>
      <c r="K626" s="296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</row>
    <row r="627" spans="1:21">
      <c r="A627" s="295"/>
      <c r="B627" s="295"/>
      <c r="C627" s="296"/>
      <c r="D627" s="296"/>
      <c r="E627" s="296"/>
      <c r="F627" s="296"/>
      <c r="G627" s="296"/>
      <c r="H627" s="297"/>
      <c r="I627" s="296"/>
      <c r="J627" s="296"/>
      <c r="K627" s="296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</row>
    <row r="628" spans="1:21">
      <c r="A628" s="295"/>
      <c r="B628" s="295"/>
      <c r="C628" s="296"/>
      <c r="D628" s="296"/>
      <c r="E628" s="296"/>
      <c r="F628" s="296"/>
      <c r="G628" s="296"/>
      <c r="H628" s="297"/>
      <c r="I628" s="296"/>
      <c r="J628" s="296"/>
      <c r="K628" s="296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</row>
    <row r="629" spans="1:21">
      <c r="A629" s="295"/>
      <c r="B629" s="295"/>
      <c r="C629" s="296"/>
      <c r="D629" s="296"/>
      <c r="E629" s="296"/>
      <c r="F629" s="296"/>
      <c r="G629" s="296"/>
      <c r="H629" s="297"/>
      <c r="I629" s="296"/>
      <c r="J629" s="296"/>
      <c r="K629" s="296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</row>
    <row r="630" spans="1:21">
      <c r="A630" s="295"/>
      <c r="B630" s="295"/>
      <c r="C630" s="296"/>
      <c r="D630" s="296"/>
      <c r="E630" s="296"/>
      <c r="F630" s="296"/>
      <c r="G630" s="296"/>
      <c r="H630" s="297"/>
      <c r="I630" s="296"/>
      <c r="J630" s="296"/>
      <c r="K630" s="296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</row>
    <row r="631" spans="1:21">
      <c r="A631" s="295"/>
      <c r="B631" s="295"/>
      <c r="C631" s="296"/>
      <c r="D631" s="296"/>
      <c r="E631" s="296"/>
      <c r="F631" s="296"/>
      <c r="G631" s="296"/>
      <c r="H631" s="297"/>
      <c r="I631" s="296"/>
      <c r="J631" s="296"/>
      <c r="K631" s="296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</row>
    <row r="632" spans="1:21">
      <c r="A632" s="295"/>
      <c r="B632" s="295"/>
      <c r="C632" s="296"/>
      <c r="D632" s="296"/>
      <c r="E632" s="296"/>
      <c r="F632" s="296"/>
      <c r="G632" s="296"/>
      <c r="H632" s="297"/>
      <c r="I632" s="296"/>
      <c r="J632" s="296"/>
      <c r="K632" s="296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</row>
    <row r="633" spans="1:21">
      <c r="A633" s="295"/>
      <c r="B633" s="295"/>
      <c r="C633" s="296"/>
      <c r="D633" s="296"/>
      <c r="E633" s="296"/>
      <c r="F633" s="296"/>
      <c r="G633" s="296"/>
      <c r="H633" s="297"/>
      <c r="I633" s="296"/>
      <c r="J633" s="296"/>
      <c r="K633" s="296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</row>
    <row r="634" spans="1:21">
      <c r="A634" s="295"/>
      <c r="B634" s="295"/>
      <c r="C634" s="296"/>
      <c r="D634" s="296"/>
      <c r="E634" s="296"/>
      <c r="F634" s="296"/>
      <c r="G634" s="296"/>
      <c r="H634" s="297"/>
      <c r="I634" s="296"/>
      <c r="J634" s="296"/>
      <c r="K634" s="296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</row>
    <row r="635" spans="1:21">
      <c r="A635" s="295"/>
      <c r="B635" s="295"/>
      <c r="C635" s="296"/>
      <c r="D635" s="296"/>
      <c r="E635" s="296"/>
      <c r="F635" s="296"/>
      <c r="G635" s="296"/>
      <c r="H635" s="297"/>
      <c r="I635" s="296"/>
      <c r="J635" s="296"/>
      <c r="K635" s="296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</row>
    <row r="636" spans="1:21">
      <c r="A636" s="295"/>
      <c r="B636" s="295"/>
      <c r="C636" s="296"/>
      <c r="D636" s="296"/>
      <c r="E636" s="296"/>
      <c r="F636" s="296"/>
      <c r="G636" s="296"/>
      <c r="H636" s="297"/>
      <c r="I636" s="296"/>
      <c r="J636" s="296"/>
      <c r="K636" s="296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</row>
    <row r="637" spans="1:21">
      <c r="A637" s="295"/>
      <c r="B637" s="295"/>
      <c r="C637" s="296"/>
      <c r="D637" s="296"/>
      <c r="E637" s="296"/>
      <c r="F637" s="296"/>
      <c r="G637" s="296"/>
      <c r="H637" s="297"/>
      <c r="I637" s="296"/>
      <c r="J637" s="296"/>
      <c r="K637" s="296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</row>
    <row r="638" spans="1:21">
      <c r="A638" s="295"/>
      <c r="B638" s="295"/>
      <c r="C638" s="296"/>
      <c r="D638" s="296"/>
      <c r="E638" s="296"/>
      <c r="F638" s="296"/>
      <c r="G638" s="296"/>
      <c r="H638" s="297"/>
      <c r="I638" s="296"/>
      <c r="J638" s="296"/>
      <c r="K638" s="296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</row>
    <row r="639" spans="1:21">
      <c r="A639" s="295"/>
      <c r="B639" s="295"/>
      <c r="C639" s="296"/>
      <c r="D639" s="296"/>
      <c r="E639" s="296"/>
      <c r="F639" s="296"/>
      <c r="G639" s="296"/>
      <c r="H639" s="297"/>
      <c r="I639" s="296"/>
      <c r="J639" s="296"/>
      <c r="K639" s="296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</row>
    <row r="640" spans="1:21">
      <c r="A640" s="295"/>
      <c r="B640" s="295"/>
      <c r="C640" s="296"/>
      <c r="D640" s="296"/>
      <c r="E640" s="296"/>
      <c r="F640" s="296"/>
      <c r="G640" s="296"/>
      <c r="H640" s="297"/>
      <c r="I640" s="296"/>
      <c r="J640" s="296"/>
      <c r="K640" s="296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</row>
    <row r="641" spans="1:21">
      <c r="A641" s="295"/>
      <c r="B641" s="295"/>
      <c r="C641" s="296"/>
      <c r="D641" s="296"/>
      <c r="E641" s="296"/>
      <c r="F641" s="296"/>
      <c r="G641" s="296"/>
      <c r="H641" s="297"/>
      <c r="I641" s="296"/>
      <c r="J641" s="296"/>
      <c r="K641" s="296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</row>
    <row r="642" spans="1:21">
      <c r="A642" s="295"/>
      <c r="B642" s="295"/>
      <c r="C642" s="296"/>
      <c r="D642" s="296"/>
      <c r="E642" s="296"/>
      <c r="F642" s="296"/>
      <c r="G642" s="296"/>
      <c r="H642" s="297"/>
      <c r="I642" s="296"/>
      <c r="J642" s="296"/>
      <c r="K642" s="296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</row>
    <row r="643" spans="1:21">
      <c r="A643" s="295"/>
      <c r="B643" s="295"/>
      <c r="C643" s="296"/>
      <c r="D643" s="296"/>
      <c r="E643" s="296"/>
      <c r="F643" s="296"/>
      <c r="G643" s="296"/>
      <c r="H643" s="297"/>
      <c r="I643" s="296"/>
      <c r="J643" s="296"/>
      <c r="K643" s="296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</row>
    <row r="644" spans="1:21">
      <c r="A644" s="295"/>
      <c r="B644" s="295"/>
      <c r="C644" s="296"/>
      <c r="D644" s="296"/>
      <c r="E644" s="296"/>
      <c r="F644" s="296"/>
      <c r="G644" s="296"/>
      <c r="H644" s="297"/>
      <c r="I644" s="296"/>
      <c r="J644" s="296"/>
      <c r="K644" s="296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</row>
    <row r="645" spans="1:21">
      <c r="A645" s="295"/>
      <c r="B645" s="295"/>
      <c r="C645" s="296"/>
      <c r="D645" s="296"/>
      <c r="E645" s="296"/>
      <c r="F645" s="296"/>
      <c r="G645" s="296"/>
      <c r="H645" s="297"/>
      <c r="I645" s="296"/>
      <c r="J645" s="296"/>
      <c r="K645" s="296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</row>
    <row r="646" spans="1:21">
      <c r="A646" s="295"/>
      <c r="B646" s="295"/>
      <c r="C646" s="296"/>
      <c r="D646" s="296"/>
      <c r="E646" s="296"/>
      <c r="F646" s="296"/>
      <c r="G646" s="296"/>
      <c r="H646" s="297"/>
      <c r="I646" s="296"/>
      <c r="J646" s="296"/>
      <c r="K646" s="296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</row>
    <row r="647" spans="1:21">
      <c r="A647" s="295"/>
      <c r="B647" s="295"/>
      <c r="C647" s="296"/>
      <c r="D647" s="296"/>
      <c r="E647" s="296"/>
      <c r="F647" s="296"/>
      <c r="G647" s="296"/>
      <c r="H647" s="297"/>
      <c r="I647" s="296"/>
      <c r="J647" s="296"/>
      <c r="K647" s="296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</row>
    <row r="648" spans="1:21">
      <c r="A648" s="295"/>
      <c r="B648" s="295"/>
      <c r="C648" s="296"/>
      <c r="D648" s="296"/>
      <c r="E648" s="296"/>
      <c r="F648" s="296"/>
      <c r="G648" s="296"/>
      <c r="H648" s="297"/>
      <c r="I648" s="296"/>
      <c r="J648" s="296"/>
      <c r="K648" s="296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</row>
    <row r="649" spans="1:21">
      <c r="A649" s="295"/>
      <c r="B649" s="295"/>
      <c r="C649" s="296"/>
      <c r="D649" s="296"/>
      <c r="E649" s="296"/>
      <c r="F649" s="296"/>
      <c r="G649" s="296"/>
      <c r="H649" s="297"/>
      <c r="I649" s="296"/>
      <c r="J649" s="296"/>
      <c r="K649" s="296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</row>
    <row r="650" spans="1:21">
      <c r="A650" s="295"/>
      <c r="B650" s="295"/>
      <c r="C650" s="296"/>
      <c r="D650" s="296"/>
      <c r="E650" s="296"/>
      <c r="F650" s="296"/>
      <c r="G650" s="296"/>
      <c r="H650" s="297"/>
      <c r="I650" s="296"/>
      <c r="J650" s="296"/>
      <c r="K650" s="296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</row>
    <row r="651" spans="1:21">
      <c r="A651" s="295"/>
      <c r="B651" s="295"/>
      <c r="C651" s="296"/>
      <c r="D651" s="296"/>
      <c r="E651" s="296"/>
      <c r="F651" s="296"/>
      <c r="G651" s="296"/>
      <c r="H651" s="297"/>
      <c r="I651" s="296"/>
      <c r="J651" s="296"/>
      <c r="K651" s="296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</row>
    <row r="652" spans="1:21">
      <c r="A652" s="295"/>
      <c r="B652" s="295"/>
      <c r="C652" s="296"/>
      <c r="D652" s="296"/>
      <c r="E652" s="296"/>
      <c r="F652" s="296"/>
      <c r="G652" s="296"/>
      <c r="H652" s="297"/>
      <c r="I652" s="296"/>
      <c r="J652" s="296"/>
      <c r="K652" s="296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</row>
    <row r="653" spans="1:21">
      <c r="A653" s="295"/>
      <c r="B653" s="295"/>
      <c r="C653" s="296"/>
      <c r="D653" s="296"/>
      <c r="E653" s="296"/>
      <c r="F653" s="296"/>
      <c r="G653" s="296"/>
      <c r="H653" s="297"/>
      <c r="I653" s="296"/>
      <c r="J653" s="296"/>
      <c r="K653" s="296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</row>
    <row r="654" spans="1:21">
      <c r="A654" s="295"/>
      <c r="B654" s="295"/>
      <c r="C654" s="296"/>
      <c r="D654" s="296"/>
      <c r="E654" s="296"/>
      <c r="F654" s="296"/>
      <c r="G654" s="296"/>
      <c r="H654" s="297"/>
      <c r="I654" s="296"/>
      <c r="J654" s="296"/>
      <c r="K654" s="296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</row>
    <row r="655" spans="1:21">
      <c r="A655" s="295"/>
      <c r="B655" s="295"/>
      <c r="C655" s="296"/>
      <c r="D655" s="296"/>
      <c r="E655" s="296"/>
      <c r="F655" s="296"/>
      <c r="G655" s="296"/>
      <c r="H655" s="297"/>
      <c r="I655" s="296"/>
      <c r="J655" s="296"/>
      <c r="K655" s="296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</row>
    <row r="656" spans="1:21">
      <c r="A656" s="295"/>
      <c r="B656" s="295"/>
      <c r="C656" s="296"/>
      <c r="D656" s="296"/>
      <c r="E656" s="296"/>
      <c r="F656" s="296"/>
      <c r="G656" s="296"/>
      <c r="H656" s="297"/>
      <c r="I656" s="296"/>
      <c r="J656" s="296"/>
      <c r="K656" s="296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</row>
    <row r="657" spans="1:21">
      <c r="A657" s="295"/>
      <c r="B657" s="295"/>
      <c r="C657" s="296"/>
      <c r="D657" s="296"/>
      <c r="E657" s="296"/>
      <c r="F657" s="296"/>
      <c r="G657" s="296"/>
      <c r="H657" s="297"/>
      <c r="I657" s="296"/>
      <c r="J657" s="296"/>
      <c r="K657" s="296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</row>
    <row r="658" spans="1:21">
      <c r="A658" s="295"/>
      <c r="B658" s="295"/>
      <c r="C658" s="296"/>
      <c r="D658" s="296"/>
      <c r="E658" s="296"/>
      <c r="F658" s="296"/>
      <c r="G658" s="296"/>
      <c r="H658" s="297"/>
      <c r="I658" s="296"/>
      <c r="J658" s="296"/>
      <c r="K658" s="296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</row>
    <row r="659" spans="1:21">
      <c r="A659" s="295"/>
      <c r="B659" s="295"/>
      <c r="C659" s="296"/>
      <c r="D659" s="296"/>
      <c r="E659" s="296"/>
      <c r="F659" s="296"/>
      <c r="G659" s="296"/>
      <c r="H659" s="297"/>
      <c r="I659" s="296"/>
      <c r="J659" s="296"/>
      <c r="K659" s="296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</row>
    <row r="660" spans="1:21">
      <c r="A660" s="295"/>
      <c r="B660" s="295"/>
      <c r="C660" s="296"/>
      <c r="D660" s="296"/>
      <c r="E660" s="296"/>
      <c r="F660" s="296"/>
      <c r="G660" s="296"/>
      <c r="H660" s="297"/>
      <c r="I660" s="296"/>
      <c r="J660" s="296"/>
      <c r="K660" s="296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</row>
    <row r="661" spans="1:21">
      <c r="A661" s="295"/>
      <c r="B661" s="295"/>
      <c r="C661" s="296"/>
      <c r="D661" s="296"/>
      <c r="E661" s="296"/>
      <c r="F661" s="296"/>
      <c r="G661" s="296"/>
      <c r="H661" s="297"/>
      <c r="I661" s="296"/>
      <c r="J661" s="296"/>
      <c r="K661" s="296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</row>
    <row r="662" spans="1:21">
      <c r="A662" s="295"/>
      <c r="B662" s="295"/>
      <c r="C662" s="296"/>
      <c r="D662" s="296"/>
      <c r="E662" s="296"/>
      <c r="F662" s="296"/>
      <c r="G662" s="296"/>
      <c r="H662" s="297"/>
      <c r="I662" s="296"/>
      <c r="J662" s="296"/>
      <c r="K662" s="296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</row>
    <row r="663" spans="1:21">
      <c r="A663" s="295"/>
      <c r="B663" s="295"/>
      <c r="C663" s="296"/>
      <c r="D663" s="296"/>
      <c r="E663" s="296"/>
      <c r="F663" s="296"/>
      <c r="G663" s="296"/>
      <c r="H663" s="297"/>
      <c r="I663" s="296"/>
      <c r="J663" s="296"/>
      <c r="K663" s="296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</row>
    <row r="664" spans="1:21">
      <c r="A664" s="295"/>
      <c r="B664" s="295"/>
      <c r="C664" s="296"/>
      <c r="D664" s="296"/>
      <c r="E664" s="296"/>
      <c r="F664" s="296"/>
      <c r="G664" s="296"/>
      <c r="H664" s="297"/>
      <c r="I664" s="296"/>
      <c r="J664" s="296"/>
      <c r="K664" s="296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</row>
    <row r="665" spans="1:21">
      <c r="A665" s="295"/>
      <c r="B665" s="295"/>
      <c r="C665" s="296"/>
      <c r="D665" s="296"/>
      <c r="E665" s="296"/>
      <c r="F665" s="296"/>
      <c r="G665" s="296"/>
      <c r="H665" s="297"/>
      <c r="I665" s="296"/>
      <c r="J665" s="296"/>
      <c r="K665" s="296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</row>
    <row r="666" spans="1:21">
      <c r="A666" s="295"/>
      <c r="B666" s="295"/>
      <c r="C666" s="296"/>
      <c r="D666" s="296"/>
      <c r="E666" s="296"/>
      <c r="F666" s="296"/>
      <c r="G666" s="296"/>
      <c r="H666" s="297"/>
      <c r="I666" s="296"/>
      <c r="J666" s="296"/>
      <c r="K666" s="296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</row>
    <row r="667" spans="1:21">
      <c r="A667" s="295"/>
      <c r="B667" s="295"/>
      <c r="C667" s="296"/>
      <c r="D667" s="296"/>
      <c r="E667" s="296"/>
      <c r="F667" s="296"/>
      <c r="G667" s="296"/>
      <c r="H667" s="297"/>
      <c r="I667" s="296"/>
      <c r="J667" s="296"/>
      <c r="K667" s="296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</row>
    <row r="668" spans="1:21">
      <c r="A668" s="295"/>
      <c r="B668" s="295"/>
      <c r="C668" s="296"/>
      <c r="D668" s="296"/>
      <c r="E668" s="296"/>
      <c r="F668" s="296"/>
      <c r="G668" s="296"/>
      <c r="H668" s="297"/>
      <c r="I668" s="296"/>
      <c r="J668" s="296"/>
      <c r="K668" s="296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</row>
    <row r="669" spans="1:21">
      <c r="A669" s="295"/>
      <c r="B669" s="295"/>
      <c r="C669" s="296"/>
      <c r="D669" s="296"/>
      <c r="E669" s="296"/>
      <c r="F669" s="296"/>
      <c r="G669" s="296"/>
      <c r="H669" s="297"/>
      <c r="I669" s="296"/>
      <c r="J669" s="296"/>
      <c r="K669" s="296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</row>
    <row r="670" spans="1:21">
      <c r="A670" s="295"/>
      <c r="B670" s="295"/>
      <c r="C670" s="296"/>
      <c r="D670" s="296"/>
      <c r="E670" s="296"/>
      <c r="F670" s="296"/>
      <c r="G670" s="296"/>
      <c r="H670" s="297"/>
      <c r="I670" s="296"/>
      <c r="J670" s="296"/>
      <c r="K670" s="296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</row>
    <row r="671" spans="1:21">
      <c r="A671" s="295"/>
      <c r="B671" s="295"/>
      <c r="C671" s="296"/>
      <c r="D671" s="296"/>
      <c r="E671" s="296"/>
      <c r="F671" s="296"/>
      <c r="G671" s="296"/>
      <c r="H671" s="297"/>
      <c r="I671" s="296"/>
      <c r="J671" s="296"/>
      <c r="K671" s="296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</row>
    <row r="672" spans="1:21">
      <c r="A672" s="295"/>
      <c r="B672" s="295"/>
      <c r="C672" s="296"/>
      <c r="D672" s="296"/>
      <c r="E672" s="296"/>
      <c r="F672" s="296"/>
      <c r="G672" s="296"/>
      <c r="H672" s="297"/>
      <c r="I672" s="296"/>
      <c r="J672" s="296"/>
      <c r="K672" s="296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</row>
    <row r="673" spans="1:21">
      <c r="A673" s="295"/>
      <c r="B673" s="295"/>
      <c r="C673" s="296"/>
      <c r="D673" s="296"/>
      <c r="E673" s="296"/>
      <c r="F673" s="296"/>
      <c r="G673" s="296"/>
      <c r="H673" s="297"/>
      <c r="I673" s="296"/>
      <c r="J673" s="296"/>
      <c r="K673" s="296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</row>
    <row r="674" spans="1:21">
      <c r="A674" s="295"/>
      <c r="B674" s="295"/>
      <c r="C674" s="296"/>
      <c r="D674" s="296"/>
      <c r="E674" s="296"/>
      <c r="F674" s="296"/>
      <c r="G674" s="296"/>
      <c r="H674" s="297"/>
      <c r="I674" s="296"/>
      <c r="J674" s="296"/>
      <c r="K674" s="296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</row>
    <row r="675" spans="1:21">
      <c r="A675" s="295"/>
      <c r="B675" s="295"/>
      <c r="C675" s="296"/>
      <c r="D675" s="296"/>
      <c r="E675" s="296"/>
      <c r="F675" s="296"/>
      <c r="G675" s="296"/>
      <c r="H675" s="297"/>
      <c r="I675" s="296"/>
      <c r="J675" s="296"/>
      <c r="K675" s="296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</row>
    <row r="676" spans="1:21">
      <c r="A676" s="295"/>
      <c r="B676" s="295"/>
      <c r="C676" s="296"/>
      <c r="D676" s="296"/>
      <c r="E676" s="296"/>
      <c r="F676" s="296"/>
      <c r="G676" s="296"/>
      <c r="H676" s="297"/>
      <c r="I676" s="296"/>
      <c r="J676" s="296"/>
      <c r="K676" s="296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</row>
    <row r="677" spans="1:21">
      <c r="A677" s="295"/>
      <c r="B677" s="295"/>
      <c r="C677" s="296"/>
      <c r="D677" s="296"/>
      <c r="E677" s="296"/>
      <c r="F677" s="296"/>
      <c r="G677" s="296"/>
      <c r="H677" s="297"/>
      <c r="I677" s="296"/>
      <c r="J677" s="296"/>
      <c r="K677" s="296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</row>
    <row r="678" spans="1:21">
      <c r="A678" s="295"/>
      <c r="B678" s="295"/>
      <c r="C678" s="296"/>
      <c r="D678" s="296"/>
      <c r="E678" s="296"/>
      <c r="F678" s="296"/>
      <c r="G678" s="296"/>
      <c r="H678" s="297"/>
      <c r="I678" s="296"/>
      <c r="J678" s="296"/>
      <c r="K678" s="296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</row>
    <row r="679" spans="1:21">
      <c r="A679" s="295"/>
      <c r="B679" s="295"/>
      <c r="C679" s="296"/>
      <c r="D679" s="296"/>
      <c r="E679" s="296"/>
      <c r="F679" s="296"/>
      <c r="G679" s="296"/>
      <c r="H679" s="297"/>
      <c r="I679" s="296"/>
      <c r="J679" s="296"/>
      <c r="K679" s="296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</row>
    <row r="680" spans="1:21">
      <c r="A680" s="295"/>
      <c r="B680" s="295"/>
      <c r="C680" s="296"/>
      <c r="D680" s="296"/>
      <c r="E680" s="296"/>
      <c r="F680" s="296"/>
      <c r="G680" s="296"/>
      <c r="H680" s="297"/>
      <c r="I680" s="296"/>
      <c r="J680" s="296"/>
      <c r="K680" s="296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</row>
    <row r="681" spans="1:21">
      <c r="A681" s="295"/>
      <c r="B681" s="295"/>
      <c r="C681" s="296"/>
      <c r="D681" s="296"/>
      <c r="E681" s="296"/>
      <c r="F681" s="296"/>
      <c r="G681" s="296"/>
      <c r="H681" s="297"/>
      <c r="I681" s="296"/>
      <c r="J681" s="296"/>
      <c r="K681" s="296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</row>
    <row r="682" spans="1:21">
      <c r="A682" s="295"/>
      <c r="B682" s="295"/>
      <c r="C682" s="296"/>
      <c r="D682" s="296"/>
      <c r="E682" s="296"/>
      <c r="F682" s="296"/>
      <c r="G682" s="296"/>
      <c r="H682" s="297"/>
      <c r="I682" s="296"/>
      <c r="J682" s="296"/>
      <c r="K682" s="296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</row>
    <row r="683" spans="1:21">
      <c r="A683" s="295"/>
      <c r="B683" s="295"/>
      <c r="C683" s="296"/>
      <c r="D683" s="296"/>
      <c r="E683" s="296"/>
      <c r="F683" s="296"/>
      <c r="G683" s="296"/>
      <c r="H683" s="297"/>
      <c r="I683" s="296"/>
      <c r="J683" s="296"/>
      <c r="K683" s="296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</row>
    <row r="684" spans="1:21">
      <c r="A684" s="295"/>
      <c r="B684" s="295"/>
      <c r="C684" s="296"/>
      <c r="D684" s="296"/>
      <c r="E684" s="296"/>
      <c r="F684" s="296"/>
      <c r="G684" s="296"/>
      <c r="H684" s="297"/>
      <c r="I684" s="296"/>
      <c r="J684" s="296"/>
      <c r="K684" s="296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</row>
    <row r="685" spans="1:21">
      <c r="A685" s="295"/>
      <c r="B685" s="295"/>
      <c r="C685" s="296"/>
      <c r="D685" s="296"/>
      <c r="E685" s="296"/>
      <c r="F685" s="296"/>
      <c r="G685" s="296"/>
      <c r="H685" s="297"/>
      <c r="I685" s="296"/>
      <c r="J685" s="296"/>
      <c r="K685" s="296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</row>
    <row r="686" spans="1:21">
      <c r="A686" s="295"/>
      <c r="B686" s="295"/>
      <c r="C686" s="296"/>
      <c r="D686" s="296"/>
      <c r="E686" s="296"/>
      <c r="F686" s="296"/>
      <c r="G686" s="296"/>
      <c r="H686" s="297"/>
      <c r="I686" s="296"/>
      <c r="J686" s="296"/>
      <c r="K686" s="296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</row>
    <row r="687" spans="1:21">
      <c r="A687" s="295"/>
      <c r="B687" s="295"/>
      <c r="C687" s="296"/>
      <c r="D687" s="296"/>
      <c r="E687" s="296"/>
      <c r="F687" s="296"/>
      <c r="G687" s="296"/>
      <c r="H687" s="297"/>
      <c r="I687" s="296"/>
      <c r="J687" s="296"/>
      <c r="K687" s="296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</row>
    <row r="688" spans="1:21">
      <c r="A688" s="295"/>
      <c r="B688" s="295"/>
      <c r="C688" s="296"/>
      <c r="D688" s="296"/>
      <c r="E688" s="296"/>
      <c r="F688" s="296"/>
      <c r="G688" s="296"/>
      <c r="H688" s="297"/>
      <c r="I688" s="296"/>
      <c r="J688" s="296"/>
      <c r="K688" s="296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</row>
    <row r="689" spans="1:21">
      <c r="A689" s="295"/>
      <c r="B689" s="295"/>
      <c r="C689" s="296"/>
      <c r="D689" s="296"/>
      <c r="E689" s="296"/>
      <c r="F689" s="296"/>
      <c r="G689" s="296"/>
      <c r="H689" s="297"/>
      <c r="I689" s="296"/>
      <c r="J689" s="296"/>
      <c r="K689" s="296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</row>
    <row r="690" spans="1:21">
      <c r="A690" s="295"/>
      <c r="B690" s="295"/>
      <c r="C690" s="296"/>
      <c r="D690" s="296"/>
      <c r="E690" s="296"/>
      <c r="F690" s="296"/>
      <c r="G690" s="296"/>
      <c r="H690" s="297"/>
      <c r="I690" s="296"/>
      <c r="J690" s="296"/>
      <c r="K690" s="296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</row>
    <row r="691" spans="1:21">
      <c r="A691" s="295"/>
      <c r="B691" s="295"/>
      <c r="C691" s="296"/>
      <c r="D691" s="296"/>
      <c r="E691" s="296"/>
      <c r="F691" s="296"/>
      <c r="G691" s="296"/>
      <c r="H691" s="297"/>
      <c r="I691" s="296"/>
      <c r="J691" s="296"/>
      <c r="K691" s="296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</row>
    <row r="692" spans="1:21">
      <c r="A692" s="295"/>
      <c r="B692" s="295"/>
      <c r="C692" s="296"/>
      <c r="D692" s="296"/>
      <c r="E692" s="296"/>
      <c r="F692" s="296"/>
      <c r="G692" s="296"/>
      <c r="H692" s="297"/>
      <c r="I692" s="296"/>
      <c r="J692" s="296"/>
      <c r="K692" s="296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</row>
    <row r="693" spans="1:21">
      <c r="A693" s="295"/>
      <c r="B693" s="295"/>
      <c r="C693" s="296"/>
      <c r="D693" s="296"/>
      <c r="E693" s="296"/>
      <c r="F693" s="296"/>
      <c r="G693" s="296"/>
      <c r="H693" s="297"/>
      <c r="I693" s="296"/>
      <c r="J693" s="296"/>
      <c r="K693" s="296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</row>
    <row r="694" spans="1:21">
      <c r="A694" s="295"/>
      <c r="B694" s="295"/>
      <c r="C694" s="296"/>
      <c r="D694" s="296"/>
      <c r="E694" s="296"/>
      <c r="F694" s="296"/>
      <c r="G694" s="296"/>
      <c r="H694" s="297"/>
      <c r="I694" s="296"/>
      <c r="J694" s="296"/>
      <c r="K694" s="296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</row>
    <row r="695" spans="1:21">
      <c r="A695" s="295"/>
      <c r="B695" s="295"/>
      <c r="C695" s="296"/>
      <c r="D695" s="296"/>
      <c r="E695" s="296"/>
      <c r="F695" s="296"/>
      <c r="G695" s="296"/>
      <c r="H695" s="297"/>
      <c r="I695" s="296"/>
      <c r="J695" s="296"/>
      <c r="K695" s="296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</row>
    <row r="696" spans="1:21">
      <c r="A696" s="295"/>
      <c r="B696" s="295"/>
      <c r="C696" s="296"/>
      <c r="D696" s="296"/>
      <c r="E696" s="296"/>
      <c r="F696" s="296"/>
      <c r="G696" s="296"/>
      <c r="H696" s="297"/>
      <c r="I696" s="296"/>
      <c r="J696" s="296"/>
      <c r="K696" s="296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</row>
    <row r="697" spans="1:21">
      <c r="A697" s="295"/>
      <c r="B697" s="295"/>
      <c r="C697" s="296"/>
      <c r="D697" s="296"/>
      <c r="E697" s="296"/>
      <c r="F697" s="296"/>
      <c r="G697" s="296"/>
      <c r="H697" s="297"/>
      <c r="I697" s="296"/>
      <c r="J697" s="296"/>
      <c r="K697" s="296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</row>
    <row r="698" spans="1:21">
      <c r="A698" s="295"/>
      <c r="B698" s="295"/>
      <c r="C698" s="296"/>
      <c r="D698" s="296"/>
      <c r="E698" s="296"/>
      <c r="F698" s="296"/>
      <c r="G698" s="296"/>
      <c r="H698" s="297"/>
      <c r="I698" s="296"/>
      <c r="J698" s="296"/>
      <c r="K698" s="296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</row>
    <row r="699" spans="1:21">
      <c r="A699" s="295"/>
      <c r="B699" s="295"/>
      <c r="C699" s="296"/>
      <c r="D699" s="296"/>
      <c r="E699" s="296"/>
      <c r="F699" s="296"/>
      <c r="G699" s="296"/>
      <c r="H699" s="297"/>
      <c r="I699" s="296"/>
      <c r="J699" s="296"/>
      <c r="K699" s="296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</row>
    <row r="700" spans="1:21">
      <c r="A700" s="295"/>
      <c r="B700" s="295"/>
      <c r="C700" s="296"/>
      <c r="D700" s="296"/>
      <c r="E700" s="296"/>
      <c r="F700" s="296"/>
      <c r="G700" s="296"/>
      <c r="H700" s="297"/>
      <c r="I700" s="296"/>
      <c r="J700" s="296"/>
      <c r="K700" s="296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</row>
    <row r="701" spans="1:21">
      <c r="A701" s="295"/>
      <c r="B701" s="295"/>
      <c r="C701" s="296"/>
      <c r="D701" s="296"/>
      <c r="E701" s="296"/>
      <c r="F701" s="296"/>
      <c r="G701" s="296"/>
      <c r="H701" s="297"/>
      <c r="I701" s="296"/>
      <c r="J701" s="296"/>
      <c r="K701" s="296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</row>
    <row r="702" spans="1:21">
      <c r="A702" s="295"/>
      <c r="B702" s="295"/>
      <c r="C702" s="296"/>
      <c r="D702" s="296"/>
      <c r="E702" s="296"/>
      <c r="F702" s="296"/>
      <c r="G702" s="296"/>
      <c r="H702" s="297"/>
      <c r="I702" s="296"/>
      <c r="J702" s="296"/>
      <c r="K702" s="296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</row>
    <row r="703" spans="1:21">
      <c r="A703" s="295"/>
      <c r="B703" s="295"/>
      <c r="C703" s="296"/>
      <c r="D703" s="296"/>
      <c r="E703" s="296"/>
      <c r="F703" s="296"/>
      <c r="G703" s="296"/>
      <c r="H703" s="297"/>
      <c r="I703" s="296"/>
      <c r="J703" s="296"/>
      <c r="K703" s="296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</row>
    <row r="704" spans="1:21">
      <c r="A704" s="295"/>
      <c r="B704" s="295"/>
      <c r="C704" s="296"/>
      <c r="D704" s="296"/>
      <c r="E704" s="296"/>
      <c r="F704" s="296"/>
      <c r="G704" s="296"/>
      <c r="H704" s="297"/>
      <c r="I704" s="296"/>
      <c r="J704" s="296"/>
      <c r="K704" s="296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</row>
    <row r="705" spans="1:21">
      <c r="A705" s="295"/>
      <c r="B705" s="295"/>
      <c r="C705" s="296"/>
      <c r="D705" s="296"/>
      <c r="E705" s="296"/>
      <c r="F705" s="296"/>
      <c r="G705" s="296"/>
      <c r="H705" s="297"/>
      <c r="I705" s="296"/>
      <c r="J705" s="296"/>
      <c r="K705" s="296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</row>
    <row r="706" spans="1:21">
      <c r="A706" s="295"/>
      <c r="B706" s="295"/>
      <c r="C706" s="296"/>
      <c r="D706" s="296"/>
      <c r="E706" s="296"/>
      <c r="F706" s="296"/>
      <c r="G706" s="296"/>
      <c r="H706" s="297"/>
      <c r="I706" s="296"/>
      <c r="J706" s="296"/>
      <c r="K706" s="296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</row>
    <row r="707" spans="1:21">
      <c r="A707" s="295"/>
      <c r="B707" s="295"/>
      <c r="C707" s="296"/>
      <c r="D707" s="296"/>
      <c r="E707" s="296"/>
      <c r="F707" s="296"/>
      <c r="G707" s="296"/>
      <c r="H707" s="297"/>
      <c r="I707" s="296"/>
      <c r="J707" s="296"/>
      <c r="K707" s="296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</row>
    <row r="708" spans="1:21">
      <c r="A708" s="295"/>
      <c r="B708" s="295"/>
      <c r="C708" s="296"/>
      <c r="D708" s="296"/>
      <c r="E708" s="296"/>
      <c r="F708" s="296"/>
      <c r="G708" s="296"/>
      <c r="H708" s="297"/>
      <c r="I708" s="296"/>
      <c r="J708" s="296"/>
      <c r="K708" s="296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</row>
    <row r="709" spans="1:21">
      <c r="A709" s="295"/>
      <c r="B709" s="295"/>
      <c r="C709" s="296"/>
      <c r="D709" s="296"/>
      <c r="E709" s="296"/>
      <c r="F709" s="296"/>
      <c r="G709" s="296"/>
      <c r="H709" s="297"/>
      <c r="I709" s="296"/>
      <c r="J709" s="296"/>
      <c r="K709" s="296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</row>
    <row r="710" spans="1:21">
      <c r="A710" s="295"/>
      <c r="B710" s="295"/>
      <c r="C710" s="296"/>
      <c r="D710" s="296"/>
      <c r="E710" s="296"/>
      <c r="F710" s="296"/>
      <c r="G710" s="296"/>
      <c r="H710" s="297"/>
      <c r="I710" s="296"/>
      <c r="J710" s="296"/>
      <c r="K710" s="296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</row>
    <row r="711" spans="1:21">
      <c r="A711" s="295"/>
      <c r="B711" s="295"/>
      <c r="C711" s="296"/>
      <c r="D711" s="296"/>
      <c r="E711" s="296"/>
      <c r="F711" s="296"/>
      <c r="G711" s="296"/>
      <c r="H711" s="297"/>
      <c r="I711" s="296"/>
      <c r="J711" s="296"/>
      <c r="K711" s="296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</row>
    <row r="712" spans="1:21">
      <c r="A712" s="295"/>
      <c r="B712" s="295"/>
      <c r="C712" s="296"/>
      <c r="D712" s="296"/>
      <c r="E712" s="296"/>
      <c r="F712" s="296"/>
      <c r="G712" s="296"/>
      <c r="H712" s="297"/>
      <c r="I712" s="296"/>
      <c r="J712" s="296"/>
      <c r="K712" s="296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</row>
    <row r="713" spans="1:21">
      <c r="A713" s="295"/>
      <c r="B713" s="295"/>
      <c r="C713" s="296"/>
      <c r="D713" s="296"/>
      <c r="E713" s="296"/>
      <c r="F713" s="296"/>
      <c r="G713" s="296"/>
      <c r="H713" s="297"/>
      <c r="I713" s="296"/>
      <c r="J713" s="296"/>
      <c r="K713" s="296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</row>
    <row r="714" spans="1:21">
      <c r="A714" s="295"/>
      <c r="B714" s="295"/>
      <c r="C714" s="296"/>
      <c r="D714" s="296"/>
      <c r="E714" s="296"/>
      <c r="F714" s="296"/>
      <c r="G714" s="296"/>
      <c r="H714" s="297"/>
      <c r="I714" s="296"/>
      <c r="J714" s="296"/>
      <c r="K714" s="296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</row>
    <row r="715" spans="1:21">
      <c r="A715" s="295"/>
      <c r="B715" s="295"/>
      <c r="C715" s="296"/>
      <c r="D715" s="296"/>
      <c r="E715" s="296"/>
      <c r="F715" s="296"/>
      <c r="G715" s="296"/>
      <c r="H715" s="297"/>
      <c r="I715" s="296"/>
      <c r="J715" s="296"/>
      <c r="K715" s="296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</row>
    <row r="716" spans="1:21">
      <c r="A716" s="295"/>
      <c r="B716" s="295"/>
      <c r="C716" s="296"/>
      <c r="D716" s="296"/>
      <c r="E716" s="296"/>
      <c r="F716" s="296"/>
      <c r="G716" s="296"/>
      <c r="H716" s="297"/>
      <c r="I716" s="296"/>
      <c r="J716" s="296"/>
      <c r="K716" s="296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</row>
    <row r="717" spans="1:21">
      <c r="A717" s="295"/>
      <c r="B717" s="295"/>
      <c r="C717" s="296"/>
      <c r="D717" s="296"/>
      <c r="E717" s="296"/>
      <c r="F717" s="296"/>
      <c r="G717" s="296"/>
      <c r="H717" s="297"/>
      <c r="I717" s="296"/>
      <c r="J717" s="296"/>
      <c r="K717" s="296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</row>
    <row r="718" spans="1:21">
      <c r="A718" s="295"/>
      <c r="B718" s="295"/>
      <c r="C718" s="296"/>
      <c r="D718" s="296"/>
      <c r="E718" s="296"/>
      <c r="F718" s="296"/>
      <c r="G718" s="296"/>
      <c r="H718" s="297"/>
      <c r="I718" s="296"/>
      <c r="J718" s="296"/>
      <c r="K718" s="296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</row>
    <row r="719" spans="1:21">
      <c r="A719" s="295"/>
      <c r="B719" s="295"/>
      <c r="C719" s="296"/>
      <c r="D719" s="296"/>
      <c r="E719" s="296"/>
      <c r="F719" s="296"/>
      <c r="G719" s="296"/>
      <c r="H719" s="297"/>
      <c r="I719" s="296"/>
      <c r="J719" s="296"/>
      <c r="K719" s="296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</row>
    <row r="720" spans="1:21">
      <c r="A720" s="295"/>
      <c r="B720" s="295"/>
      <c r="C720" s="296"/>
      <c r="D720" s="296"/>
      <c r="E720" s="296"/>
      <c r="F720" s="296"/>
      <c r="G720" s="296"/>
      <c r="H720" s="297"/>
      <c r="I720" s="296"/>
      <c r="J720" s="296"/>
      <c r="K720" s="296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</row>
    <row r="721" spans="1:21">
      <c r="A721" s="295"/>
      <c r="B721" s="295"/>
      <c r="C721" s="296"/>
      <c r="D721" s="296"/>
      <c r="E721" s="296"/>
      <c r="F721" s="296"/>
      <c r="G721" s="296"/>
      <c r="H721" s="297"/>
      <c r="I721" s="296"/>
      <c r="J721" s="296"/>
      <c r="K721" s="296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</row>
    <row r="722" spans="1:21">
      <c r="A722" s="295"/>
      <c r="B722" s="295"/>
      <c r="C722" s="296"/>
      <c r="D722" s="296"/>
      <c r="E722" s="296"/>
      <c r="F722" s="296"/>
      <c r="G722" s="296"/>
      <c r="H722" s="297"/>
      <c r="I722" s="296"/>
      <c r="J722" s="296"/>
      <c r="K722" s="296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</row>
    <row r="723" spans="1:21">
      <c r="A723" s="295"/>
      <c r="B723" s="295"/>
      <c r="C723" s="296"/>
      <c r="D723" s="296"/>
      <c r="E723" s="296"/>
      <c r="F723" s="296"/>
      <c r="G723" s="296"/>
      <c r="H723" s="297"/>
      <c r="I723" s="296"/>
      <c r="J723" s="296"/>
      <c r="K723" s="296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</row>
    <row r="724" spans="1:21">
      <c r="A724" s="295"/>
      <c r="B724" s="295"/>
      <c r="C724" s="296"/>
      <c r="D724" s="296"/>
      <c r="E724" s="296"/>
      <c r="F724" s="296"/>
      <c r="G724" s="296"/>
      <c r="H724" s="297"/>
      <c r="I724" s="296"/>
      <c r="J724" s="296"/>
      <c r="K724" s="296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</row>
    <row r="725" spans="1:21">
      <c r="A725" s="295"/>
      <c r="B725" s="295"/>
      <c r="C725" s="296"/>
      <c r="D725" s="296"/>
      <c r="E725" s="296"/>
      <c r="F725" s="296"/>
      <c r="G725" s="296"/>
      <c r="H725" s="297"/>
      <c r="I725" s="296"/>
      <c r="J725" s="296"/>
      <c r="K725" s="296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</row>
    <row r="726" spans="1:21">
      <c r="A726" s="295"/>
      <c r="B726" s="295"/>
      <c r="C726" s="296"/>
      <c r="D726" s="296"/>
      <c r="E726" s="296"/>
      <c r="F726" s="296"/>
      <c r="G726" s="296"/>
      <c r="H726" s="297"/>
      <c r="I726" s="296"/>
      <c r="J726" s="296"/>
      <c r="K726" s="296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</row>
    <row r="727" spans="1:21">
      <c r="A727" s="295"/>
      <c r="B727" s="295"/>
      <c r="C727" s="296"/>
      <c r="D727" s="296"/>
      <c r="E727" s="296"/>
      <c r="F727" s="296"/>
      <c r="G727" s="296"/>
      <c r="H727" s="297"/>
      <c r="I727" s="296"/>
      <c r="J727" s="296"/>
      <c r="K727" s="296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</row>
    <row r="728" spans="1:21">
      <c r="A728" s="295"/>
      <c r="B728" s="295"/>
      <c r="C728" s="296"/>
      <c r="D728" s="296"/>
      <c r="E728" s="296"/>
      <c r="F728" s="296"/>
      <c r="G728" s="296"/>
      <c r="H728" s="297"/>
      <c r="I728" s="296"/>
      <c r="J728" s="296"/>
      <c r="K728" s="296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</row>
    <row r="729" spans="1:21">
      <c r="A729" s="295"/>
      <c r="B729" s="295"/>
      <c r="C729" s="296"/>
      <c r="D729" s="296"/>
      <c r="E729" s="296"/>
      <c r="F729" s="296"/>
      <c r="G729" s="296"/>
      <c r="H729" s="297"/>
      <c r="I729" s="296"/>
      <c r="J729" s="296"/>
      <c r="K729" s="296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</row>
    <row r="730" spans="1:21">
      <c r="A730" s="295"/>
      <c r="B730" s="295"/>
      <c r="C730" s="296"/>
      <c r="D730" s="296"/>
      <c r="E730" s="296"/>
      <c r="F730" s="296"/>
      <c r="G730" s="296"/>
      <c r="H730" s="297"/>
      <c r="I730" s="296"/>
      <c r="J730" s="296"/>
      <c r="K730" s="296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</row>
    <row r="731" spans="1:21">
      <c r="A731" s="295"/>
      <c r="B731" s="295"/>
      <c r="C731" s="296"/>
      <c r="D731" s="296"/>
      <c r="E731" s="296"/>
      <c r="F731" s="296"/>
      <c r="G731" s="296"/>
      <c r="H731" s="297"/>
      <c r="I731" s="296"/>
      <c r="J731" s="296"/>
      <c r="K731" s="296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</row>
    <row r="732" spans="1:21">
      <c r="A732" s="295"/>
      <c r="B732" s="295"/>
      <c r="C732" s="296"/>
      <c r="D732" s="296"/>
      <c r="E732" s="296"/>
      <c r="F732" s="296"/>
      <c r="G732" s="296"/>
      <c r="H732" s="297"/>
      <c r="I732" s="296"/>
      <c r="J732" s="296"/>
      <c r="K732" s="296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</row>
    <row r="733" spans="1:21">
      <c r="A733" s="295"/>
      <c r="B733" s="295"/>
      <c r="C733" s="296"/>
      <c r="D733" s="296"/>
      <c r="E733" s="296"/>
      <c r="F733" s="296"/>
      <c r="G733" s="296"/>
      <c r="H733" s="297"/>
      <c r="I733" s="296"/>
      <c r="J733" s="296"/>
      <c r="K733" s="296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</row>
    <row r="734" spans="1:21">
      <c r="A734" s="295"/>
      <c r="B734" s="295"/>
      <c r="C734" s="296"/>
      <c r="D734" s="296"/>
      <c r="E734" s="296"/>
      <c r="F734" s="296"/>
      <c r="G734" s="296"/>
      <c r="H734" s="297"/>
      <c r="I734" s="296"/>
      <c r="J734" s="296"/>
      <c r="K734" s="296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</row>
    <row r="735" spans="1:21">
      <c r="A735" s="295"/>
      <c r="B735" s="295"/>
      <c r="C735" s="296"/>
      <c r="D735" s="296"/>
      <c r="E735" s="296"/>
      <c r="F735" s="296"/>
      <c r="G735" s="296"/>
      <c r="H735" s="297"/>
      <c r="I735" s="296"/>
      <c r="J735" s="296"/>
      <c r="K735" s="296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</row>
    <row r="736" spans="1:21">
      <c r="A736" s="295"/>
      <c r="B736" s="295"/>
      <c r="C736" s="296"/>
      <c r="D736" s="296"/>
      <c r="E736" s="296"/>
      <c r="F736" s="296"/>
      <c r="G736" s="296"/>
      <c r="H736" s="297"/>
      <c r="I736" s="296"/>
      <c r="J736" s="296"/>
      <c r="K736" s="296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</row>
    <row r="737" spans="1:21">
      <c r="A737" s="295"/>
      <c r="B737" s="295"/>
      <c r="C737" s="296"/>
      <c r="D737" s="296"/>
      <c r="E737" s="296"/>
      <c r="F737" s="296"/>
      <c r="G737" s="296"/>
      <c r="H737" s="297"/>
      <c r="I737" s="296"/>
      <c r="J737" s="296"/>
      <c r="K737" s="296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</row>
    <row r="738" spans="1:21">
      <c r="A738" s="295"/>
      <c r="B738" s="295"/>
      <c r="C738" s="296"/>
      <c r="D738" s="296"/>
      <c r="E738" s="296"/>
      <c r="F738" s="296"/>
      <c r="G738" s="296"/>
      <c r="H738" s="297"/>
      <c r="I738" s="296"/>
      <c r="J738" s="296"/>
      <c r="K738" s="296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</row>
    <row r="739" spans="1:21">
      <c r="A739" s="295"/>
      <c r="B739" s="295"/>
      <c r="C739" s="296"/>
      <c r="D739" s="296"/>
      <c r="E739" s="296"/>
      <c r="F739" s="296"/>
      <c r="G739" s="296"/>
      <c r="H739" s="297"/>
      <c r="I739" s="296"/>
      <c r="J739" s="296"/>
      <c r="K739" s="296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</row>
    <row r="740" spans="1:21">
      <c r="A740" s="295"/>
      <c r="B740" s="295"/>
      <c r="C740" s="296"/>
      <c r="D740" s="296"/>
      <c r="E740" s="296"/>
      <c r="F740" s="296"/>
      <c r="G740" s="296"/>
      <c r="H740" s="297"/>
      <c r="I740" s="296"/>
      <c r="J740" s="296"/>
      <c r="K740" s="296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</row>
    <row r="741" spans="1:21">
      <c r="A741" s="295"/>
      <c r="B741" s="295"/>
      <c r="C741" s="296"/>
      <c r="D741" s="296"/>
      <c r="E741" s="296"/>
      <c r="F741" s="296"/>
      <c r="G741" s="296"/>
      <c r="H741" s="297"/>
      <c r="I741" s="296"/>
      <c r="J741" s="296"/>
      <c r="K741" s="296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</row>
    <row r="742" spans="1:21">
      <c r="A742" s="295"/>
      <c r="B742" s="295"/>
      <c r="C742" s="296"/>
      <c r="D742" s="296"/>
      <c r="E742" s="296"/>
      <c r="F742" s="296"/>
      <c r="G742" s="296"/>
      <c r="H742" s="297"/>
      <c r="I742" s="296"/>
      <c r="J742" s="296"/>
      <c r="K742" s="296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</row>
    <row r="743" spans="1:21">
      <c r="A743" s="295"/>
      <c r="B743" s="295"/>
      <c r="C743" s="296"/>
      <c r="D743" s="296"/>
      <c r="E743" s="296"/>
      <c r="F743" s="296"/>
      <c r="G743" s="296"/>
      <c r="H743" s="297"/>
      <c r="I743" s="296"/>
      <c r="J743" s="296"/>
      <c r="K743" s="296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</row>
    <row r="744" spans="1:21">
      <c r="A744" s="295"/>
      <c r="B744" s="295"/>
      <c r="C744" s="296"/>
      <c r="D744" s="296"/>
      <c r="E744" s="296"/>
      <c r="F744" s="296"/>
      <c r="G744" s="296"/>
      <c r="H744" s="297"/>
      <c r="I744" s="296"/>
      <c r="J744" s="296"/>
      <c r="K744" s="296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</row>
    <row r="745" spans="1:21">
      <c r="A745" s="295"/>
      <c r="B745" s="295"/>
      <c r="C745" s="296"/>
      <c r="D745" s="296"/>
      <c r="E745" s="296"/>
      <c r="F745" s="296"/>
      <c r="G745" s="296"/>
      <c r="H745" s="297"/>
      <c r="I745" s="296"/>
      <c r="J745" s="296"/>
      <c r="K745" s="296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</row>
    <row r="746" spans="1:21">
      <c r="A746" s="295"/>
      <c r="B746" s="295"/>
      <c r="C746" s="296"/>
      <c r="D746" s="296"/>
      <c r="E746" s="296"/>
      <c r="F746" s="296"/>
      <c r="G746" s="296"/>
      <c r="H746" s="297"/>
      <c r="I746" s="296"/>
      <c r="J746" s="296"/>
      <c r="K746" s="296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</row>
    <row r="747" spans="1:21">
      <c r="A747" s="295"/>
      <c r="B747" s="295"/>
      <c r="C747" s="296"/>
      <c r="D747" s="296"/>
      <c r="E747" s="296"/>
      <c r="F747" s="296"/>
      <c r="G747" s="296"/>
      <c r="H747" s="297"/>
      <c r="I747" s="296"/>
      <c r="J747" s="296"/>
      <c r="K747" s="296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</row>
    <row r="748" spans="1:21">
      <c r="A748" s="295"/>
      <c r="B748" s="295"/>
      <c r="C748" s="296"/>
      <c r="D748" s="296"/>
      <c r="E748" s="296"/>
      <c r="F748" s="296"/>
      <c r="G748" s="296"/>
      <c r="H748" s="297"/>
      <c r="I748" s="296"/>
      <c r="J748" s="296"/>
      <c r="K748" s="296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</row>
    <row r="749" spans="1:21">
      <c r="A749" s="295"/>
      <c r="B749" s="295"/>
      <c r="C749" s="296"/>
      <c r="D749" s="296"/>
      <c r="E749" s="296"/>
      <c r="F749" s="296"/>
      <c r="G749" s="296"/>
      <c r="H749" s="297"/>
      <c r="I749" s="296"/>
      <c r="J749" s="296"/>
      <c r="K749" s="296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</row>
    <row r="750" spans="1:21">
      <c r="A750" s="295"/>
      <c r="B750" s="295"/>
      <c r="C750" s="296"/>
      <c r="D750" s="296"/>
      <c r="E750" s="296"/>
      <c r="F750" s="296"/>
      <c r="G750" s="296"/>
      <c r="H750" s="297"/>
      <c r="I750" s="296"/>
      <c r="J750" s="296"/>
      <c r="K750" s="296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</row>
    <row r="751" spans="1:21">
      <c r="A751" s="295"/>
      <c r="B751" s="295"/>
      <c r="C751" s="296"/>
      <c r="D751" s="296"/>
      <c r="E751" s="296"/>
      <c r="F751" s="296"/>
      <c r="G751" s="296"/>
      <c r="H751" s="297"/>
      <c r="I751" s="296"/>
      <c r="J751" s="296"/>
      <c r="K751" s="296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</row>
    <row r="752" spans="1:21">
      <c r="A752" s="295"/>
      <c r="B752" s="295"/>
      <c r="C752" s="296"/>
      <c r="D752" s="296"/>
      <c r="E752" s="296"/>
      <c r="F752" s="296"/>
      <c r="G752" s="296"/>
      <c r="H752" s="297"/>
      <c r="I752" s="296"/>
      <c r="J752" s="296"/>
      <c r="K752" s="296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</row>
    <row r="753" spans="1:21">
      <c r="A753" s="295"/>
      <c r="B753" s="295"/>
      <c r="C753" s="296"/>
      <c r="D753" s="296"/>
      <c r="E753" s="296"/>
      <c r="F753" s="296"/>
      <c r="G753" s="296"/>
      <c r="H753" s="297"/>
      <c r="I753" s="296"/>
      <c r="J753" s="296"/>
      <c r="K753" s="296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</row>
    <row r="754" spans="1:21">
      <c r="A754" s="295"/>
      <c r="B754" s="295"/>
      <c r="C754" s="296"/>
      <c r="D754" s="296"/>
      <c r="E754" s="296"/>
      <c r="F754" s="296"/>
      <c r="G754" s="296"/>
      <c r="H754" s="297"/>
      <c r="I754" s="296"/>
      <c r="J754" s="296"/>
      <c r="K754" s="296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</row>
    <row r="755" spans="1:21">
      <c r="A755" s="295"/>
      <c r="B755" s="295"/>
      <c r="C755" s="296"/>
      <c r="D755" s="296"/>
      <c r="E755" s="296"/>
      <c r="F755" s="296"/>
      <c r="G755" s="296"/>
      <c r="H755" s="297"/>
      <c r="I755" s="296"/>
      <c r="J755" s="296"/>
      <c r="K755" s="296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</row>
    <row r="756" spans="1:21">
      <c r="A756" s="295"/>
      <c r="B756" s="295"/>
      <c r="C756" s="296"/>
      <c r="D756" s="296"/>
      <c r="E756" s="296"/>
      <c r="F756" s="296"/>
      <c r="G756" s="296"/>
      <c r="H756" s="297"/>
      <c r="I756" s="296"/>
      <c r="J756" s="296"/>
      <c r="K756" s="296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</row>
    <row r="757" spans="1:21">
      <c r="A757" s="295"/>
      <c r="B757" s="295"/>
      <c r="C757" s="296"/>
      <c r="D757" s="296"/>
      <c r="E757" s="296"/>
      <c r="F757" s="296"/>
      <c r="G757" s="296"/>
      <c r="H757" s="297"/>
      <c r="I757" s="296"/>
      <c r="J757" s="296"/>
      <c r="K757" s="296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</row>
    <row r="758" spans="1:21">
      <c r="A758" s="295"/>
      <c r="B758" s="295"/>
      <c r="C758" s="296"/>
      <c r="D758" s="296"/>
      <c r="E758" s="296"/>
      <c r="F758" s="296"/>
      <c r="G758" s="296"/>
      <c r="H758" s="297"/>
      <c r="I758" s="296"/>
      <c r="J758" s="296"/>
      <c r="K758" s="296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</row>
    <row r="759" spans="1:21">
      <c r="A759" s="295"/>
      <c r="B759" s="295"/>
      <c r="C759" s="296"/>
      <c r="D759" s="296"/>
      <c r="E759" s="296"/>
      <c r="F759" s="296"/>
      <c r="G759" s="296"/>
      <c r="H759" s="297"/>
      <c r="I759" s="296"/>
      <c r="J759" s="296"/>
      <c r="K759" s="296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</row>
    <row r="760" spans="1:21">
      <c r="A760" s="295"/>
      <c r="B760" s="295"/>
      <c r="C760" s="296"/>
      <c r="D760" s="296"/>
      <c r="E760" s="296"/>
      <c r="F760" s="296"/>
      <c r="G760" s="296"/>
      <c r="H760" s="297"/>
      <c r="I760" s="296"/>
      <c r="J760" s="296"/>
      <c r="K760" s="296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</row>
    <row r="761" spans="1:21">
      <c r="A761" s="295"/>
      <c r="B761" s="295"/>
      <c r="C761" s="296"/>
      <c r="D761" s="296"/>
      <c r="E761" s="296"/>
      <c r="F761" s="296"/>
      <c r="G761" s="296"/>
      <c r="H761" s="297"/>
      <c r="I761" s="296"/>
      <c r="J761" s="296"/>
      <c r="K761" s="296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</row>
    <row r="762" spans="1:21">
      <c r="A762" s="295"/>
      <c r="B762" s="295"/>
      <c r="C762" s="296"/>
      <c r="D762" s="296"/>
      <c r="E762" s="296"/>
      <c r="F762" s="296"/>
      <c r="G762" s="296"/>
      <c r="H762" s="297"/>
      <c r="I762" s="296"/>
      <c r="J762" s="296"/>
      <c r="K762" s="296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</row>
    <row r="763" spans="1:21">
      <c r="A763" s="295"/>
      <c r="B763" s="295"/>
      <c r="C763" s="296"/>
      <c r="D763" s="296"/>
      <c r="E763" s="296"/>
      <c r="F763" s="296"/>
      <c r="G763" s="296"/>
      <c r="H763" s="297"/>
      <c r="I763" s="296"/>
      <c r="J763" s="296"/>
      <c r="K763" s="296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</row>
    <row r="764" spans="1:21">
      <c r="A764" s="295"/>
      <c r="B764" s="295"/>
      <c r="C764" s="296"/>
      <c r="D764" s="296"/>
      <c r="E764" s="296"/>
      <c r="F764" s="296"/>
      <c r="G764" s="296"/>
      <c r="H764" s="297"/>
      <c r="I764" s="296"/>
      <c r="J764" s="296"/>
      <c r="K764" s="296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</row>
    <row r="765" spans="1:21">
      <c r="A765" s="295"/>
      <c r="B765" s="295"/>
      <c r="C765" s="296"/>
      <c r="D765" s="296"/>
      <c r="E765" s="296"/>
      <c r="F765" s="296"/>
      <c r="G765" s="296"/>
      <c r="H765" s="297"/>
      <c r="I765" s="296"/>
      <c r="J765" s="296"/>
      <c r="K765" s="296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</row>
    <row r="766" spans="1:21">
      <c r="A766" s="295"/>
      <c r="B766" s="295"/>
      <c r="C766" s="296"/>
      <c r="D766" s="296"/>
      <c r="E766" s="296"/>
      <c r="F766" s="296"/>
      <c r="G766" s="296"/>
      <c r="H766" s="297"/>
      <c r="I766" s="296"/>
      <c r="J766" s="296"/>
      <c r="K766" s="296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</row>
    <row r="767" spans="1:21">
      <c r="A767" s="295"/>
      <c r="B767" s="295"/>
      <c r="C767" s="296"/>
      <c r="D767" s="296"/>
      <c r="E767" s="296"/>
      <c r="F767" s="296"/>
      <c r="G767" s="296"/>
      <c r="H767" s="297"/>
      <c r="I767" s="296"/>
      <c r="J767" s="296"/>
      <c r="K767" s="296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</row>
    <row r="768" spans="1:21">
      <c r="A768" s="295"/>
      <c r="B768" s="295"/>
      <c r="C768" s="296"/>
      <c r="D768" s="296"/>
      <c r="E768" s="296"/>
      <c r="F768" s="296"/>
      <c r="G768" s="296"/>
      <c r="H768" s="297"/>
      <c r="I768" s="296"/>
      <c r="J768" s="296"/>
      <c r="K768" s="296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</row>
    <row r="769" spans="1:21">
      <c r="A769" s="295"/>
      <c r="B769" s="295"/>
      <c r="C769" s="296"/>
      <c r="D769" s="296"/>
      <c r="E769" s="296"/>
      <c r="F769" s="296"/>
      <c r="G769" s="296"/>
      <c r="H769" s="297"/>
      <c r="I769" s="296"/>
      <c r="J769" s="296"/>
      <c r="K769" s="296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</row>
    <row r="770" spans="1:21">
      <c r="A770" s="295"/>
      <c r="B770" s="295"/>
      <c r="C770" s="296"/>
      <c r="D770" s="296"/>
      <c r="E770" s="296"/>
      <c r="F770" s="296"/>
      <c r="G770" s="296"/>
      <c r="H770" s="297"/>
      <c r="I770" s="296"/>
      <c r="J770" s="296"/>
      <c r="K770" s="296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</row>
    <row r="771" spans="1:21">
      <c r="A771" s="295"/>
      <c r="B771" s="295"/>
      <c r="C771" s="296"/>
      <c r="D771" s="296"/>
      <c r="E771" s="296"/>
      <c r="F771" s="296"/>
      <c r="G771" s="296"/>
      <c r="H771" s="297"/>
      <c r="I771" s="296"/>
      <c r="J771" s="296"/>
      <c r="K771" s="296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</row>
    <row r="772" spans="1:21">
      <c r="A772" s="295"/>
      <c r="B772" s="295"/>
      <c r="C772" s="296"/>
      <c r="D772" s="296"/>
      <c r="E772" s="296"/>
      <c r="F772" s="296"/>
      <c r="G772" s="296"/>
      <c r="H772" s="297"/>
      <c r="I772" s="296"/>
      <c r="J772" s="296"/>
      <c r="K772" s="296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</row>
    <row r="773" spans="1:21">
      <c r="A773" s="295"/>
      <c r="B773" s="295"/>
      <c r="C773" s="296"/>
      <c r="D773" s="296"/>
      <c r="E773" s="296"/>
      <c r="F773" s="296"/>
      <c r="G773" s="296"/>
      <c r="H773" s="297"/>
      <c r="I773" s="296"/>
      <c r="J773" s="296"/>
      <c r="K773" s="296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</row>
    <row r="774" spans="1:21">
      <c r="A774" s="295"/>
      <c r="B774" s="295"/>
      <c r="C774" s="296"/>
      <c r="D774" s="296"/>
      <c r="E774" s="296"/>
      <c r="F774" s="296"/>
      <c r="G774" s="296"/>
      <c r="H774" s="297"/>
      <c r="I774" s="296"/>
      <c r="J774" s="296"/>
      <c r="K774" s="296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</row>
    <row r="775" spans="1:21">
      <c r="A775" s="295"/>
      <c r="B775" s="295"/>
      <c r="C775" s="296"/>
      <c r="D775" s="296"/>
      <c r="E775" s="296"/>
      <c r="F775" s="296"/>
      <c r="G775" s="296"/>
      <c r="H775" s="297"/>
      <c r="I775" s="296"/>
      <c r="J775" s="296"/>
      <c r="K775" s="296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</row>
    <row r="776" spans="1:21">
      <c r="A776" s="295"/>
      <c r="B776" s="295"/>
      <c r="C776" s="296"/>
      <c r="D776" s="296"/>
      <c r="E776" s="296"/>
      <c r="F776" s="296"/>
      <c r="G776" s="296"/>
      <c r="H776" s="297"/>
      <c r="I776" s="296"/>
      <c r="J776" s="296"/>
      <c r="K776" s="296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</row>
    <row r="777" spans="1:21">
      <c r="A777" s="295"/>
      <c r="B777" s="295"/>
      <c r="C777" s="296"/>
      <c r="D777" s="296"/>
      <c r="E777" s="296"/>
      <c r="F777" s="296"/>
      <c r="G777" s="296"/>
      <c r="H777" s="297"/>
      <c r="I777" s="296"/>
      <c r="J777" s="296"/>
      <c r="K777" s="296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</row>
    <row r="778" spans="1:21">
      <c r="A778" s="295"/>
      <c r="B778" s="295"/>
      <c r="C778" s="296"/>
      <c r="D778" s="296"/>
      <c r="E778" s="296"/>
      <c r="F778" s="296"/>
      <c r="G778" s="296"/>
      <c r="H778" s="297"/>
      <c r="I778" s="296"/>
      <c r="J778" s="296"/>
      <c r="K778" s="296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</row>
    <row r="779" spans="1:21">
      <c r="A779" s="295"/>
      <c r="B779" s="295"/>
      <c r="C779" s="296"/>
      <c r="D779" s="296"/>
      <c r="E779" s="296"/>
      <c r="F779" s="296"/>
      <c r="G779" s="296"/>
      <c r="H779" s="297"/>
      <c r="I779" s="296"/>
      <c r="J779" s="296"/>
      <c r="K779" s="296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</row>
    <row r="780" spans="1:21">
      <c r="A780" s="295"/>
      <c r="B780" s="295"/>
      <c r="C780" s="296"/>
      <c r="D780" s="296"/>
      <c r="E780" s="296"/>
      <c r="F780" s="296"/>
      <c r="G780" s="296"/>
      <c r="H780" s="297"/>
      <c r="I780" s="296"/>
      <c r="J780" s="296"/>
      <c r="K780" s="296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</row>
    <row r="781" spans="1:21">
      <c r="A781" s="295"/>
      <c r="B781" s="295"/>
      <c r="C781" s="296"/>
      <c r="D781" s="296"/>
      <c r="E781" s="296"/>
      <c r="F781" s="296"/>
      <c r="G781" s="296"/>
      <c r="H781" s="297"/>
      <c r="I781" s="296"/>
      <c r="J781" s="296"/>
      <c r="K781" s="296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</row>
    <row r="782" spans="1:21">
      <c r="A782" s="295"/>
      <c r="B782" s="295"/>
      <c r="C782" s="296"/>
      <c r="D782" s="296"/>
      <c r="E782" s="296"/>
      <c r="F782" s="296"/>
      <c r="G782" s="296"/>
      <c r="H782" s="297"/>
      <c r="I782" s="296"/>
      <c r="J782" s="296"/>
      <c r="K782" s="296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</row>
    <row r="783" spans="1:21">
      <c r="A783" s="295"/>
      <c r="B783" s="295"/>
      <c r="C783" s="296"/>
      <c r="D783" s="296"/>
      <c r="E783" s="296"/>
      <c r="F783" s="296"/>
      <c r="G783" s="296"/>
      <c r="H783" s="297"/>
      <c r="I783" s="296"/>
      <c r="J783" s="296"/>
      <c r="K783" s="296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</row>
    <row r="784" spans="1:21">
      <c r="A784" s="295"/>
      <c r="B784" s="295"/>
      <c r="C784" s="296"/>
      <c r="D784" s="296"/>
      <c r="E784" s="296"/>
      <c r="F784" s="296"/>
      <c r="G784" s="296"/>
      <c r="H784" s="297"/>
      <c r="I784" s="296"/>
      <c r="J784" s="296"/>
      <c r="K784" s="296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</row>
    <row r="785" spans="1:21">
      <c r="A785" s="295"/>
      <c r="B785" s="295"/>
      <c r="C785" s="296"/>
      <c r="D785" s="296"/>
      <c r="E785" s="296"/>
      <c r="F785" s="296"/>
      <c r="G785" s="296"/>
      <c r="H785" s="297"/>
      <c r="I785" s="296"/>
      <c r="J785" s="296"/>
      <c r="K785" s="296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</row>
    <row r="786" spans="1:21">
      <c r="A786" s="295"/>
      <c r="B786" s="295"/>
      <c r="C786" s="296"/>
      <c r="D786" s="296"/>
      <c r="E786" s="296"/>
      <c r="F786" s="296"/>
      <c r="G786" s="296"/>
      <c r="H786" s="297"/>
      <c r="I786" s="296"/>
      <c r="J786" s="296"/>
      <c r="K786" s="296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</row>
    <row r="787" spans="1:21">
      <c r="A787" s="295"/>
      <c r="B787" s="295"/>
      <c r="C787" s="296"/>
      <c r="D787" s="296"/>
      <c r="E787" s="296"/>
      <c r="F787" s="296"/>
      <c r="G787" s="296"/>
      <c r="H787" s="297"/>
      <c r="I787" s="296"/>
      <c r="J787" s="296"/>
      <c r="K787" s="296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</row>
    <row r="788" spans="1:21">
      <c r="A788" s="295"/>
      <c r="B788" s="295"/>
      <c r="C788" s="296"/>
      <c r="D788" s="296"/>
      <c r="E788" s="296"/>
      <c r="F788" s="296"/>
      <c r="G788" s="296"/>
      <c r="H788" s="297"/>
      <c r="I788" s="296"/>
      <c r="J788" s="296"/>
      <c r="K788" s="296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</row>
    <row r="789" spans="1:21">
      <c r="A789" s="295"/>
      <c r="B789" s="295"/>
      <c r="C789" s="296"/>
      <c r="D789" s="296"/>
      <c r="E789" s="296"/>
      <c r="F789" s="296"/>
      <c r="G789" s="296"/>
      <c r="H789" s="297"/>
      <c r="I789" s="296"/>
      <c r="J789" s="296"/>
      <c r="K789" s="296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</row>
    <row r="790" spans="1:21">
      <c r="A790" s="295"/>
      <c r="B790" s="295"/>
      <c r="C790" s="296"/>
      <c r="D790" s="296"/>
      <c r="E790" s="296"/>
      <c r="F790" s="296"/>
      <c r="G790" s="296"/>
      <c r="H790" s="297"/>
      <c r="I790" s="296"/>
      <c r="J790" s="296"/>
      <c r="K790" s="296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</row>
    <row r="791" spans="1:21">
      <c r="A791" s="295"/>
      <c r="B791" s="295"/>
      <c r="C791" s="296"/>
      <c r="D791" s="296"/>
      <c r="E791" s="296"/>
      <c r="F791" s="296"/>
      <c r="G791" s="296"/>
      <c r="H791" s="297"/>
      <c r="I791" s="296"/>
      <c r="J791" s="296"/>
      <c r="K791" s="296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</row>
    <row r="792" spans="1:21">
      <c r="A792" s="295"/>
      <c r="B792" s="295"/>
      <c r="C792" s="296"/>
      <c r="D792" s="296"/>
      <c r="E792" s="296"/>
      <c r="F792" s="296"/>
      <c r="G792" s="296"/>
      <c r="H792" s="297"/>
      <c r="I792" s="296"/>
      <c r="J792" s="296"/>
      <c r="K792" s="296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</row>
    <row r="793" spans="1:21">
      <c r="A793" s="295"/>
      <c r="B793" s="295"/>
      <c r="C793" s="296"/>
      <c r="D793" s="296"/>
      <c r="E793" s="296"/>
      <c r="F793" s="296"/>
      <c r="G793" s="296"/>
      <c r="H793" s="297"/>
      <c r="I793" s="296"/>
      <c r="J793" s="296"/>
      <c r="K793" s="296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</row>
    <row r="794" spans="1:21">
      <c r="A794" s="295"/>
      <c r="B794" s="295"/>
      <c r="C794" s="296"/>
      <c r="D794" s="296"/>
      <c r="E794" s="296"/>
      <c r="F794" s="296"/>
      <c r="G794" s="296"/>
      <c r="H794" s="297"/>
      <c r="I794" s="296"/>
      <c r="J794" s="296"/>
      <c r="K794" s="296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</row>
    <row r="795" spans="1:21">
      <c r="A795" s="295"/>
      <c r="B795" s="295"/>
      <c r="C795" s="296"/>
      <c r="D795" s="296"/>
      <c r="E795" s="296"/>
      <c r="F795" s="296"/>
      <c r="G795" s="296"/>
      <c r="H795" s="297"/>
      <c r="I795" s="296"/>
      <c r="J795" s="296"/>
      <c r="K795" s="296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</row>
    <row r="796" spans="1:21">
      <c r="A796" s="295"/>
      <c r="B796" s="295"/>
      <c r="C796" s="296"/>
      <c r="D796" s="296"/>
      <c r="E796" s="296"/>
      <c r="F796" s="296"/>
      <c r="G796" s="296"/>
      <c r="H796" s="297"/>
      <c r="I796" s="296"/>
      <c r="J796" s="296"/>
      <c r="K796" s="296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</row>
    <row r="797" spans="1:21">
      <c r="A797" s="295"/>
      <c r="B797" s="295"/>
      <c r="C797" s="296"/>
      <c r="D797" s="296"/>
      <c r="E797" s="296"/>
      <c r="F797" s="296"/>
      <c r="G797" s="296"/>
      <c r="H797" s="297"/>
      <c r="I797" s="296"/>
      <c r="J797" s="296"/>
      <c r="K797" s="296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</row>
    <row r="798" spans="1:21">
      <c r="A798" s="295"/>
      <c r="B798" s="295"/>
      <c r="C798" s="296"/>
      <c r="D798" s="296"/>
      <c r="E798" s="296"/>
      <c r="F798" s="296"/>
      <c r="G798" s="296"/>
      <c r="H798" s="297"/>
      <c r="I798" s="296"/>
      <c r="J798" s="296"/>
      <c r="K798" s="296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</row>
    <row r="799" spans="1:21">
      <c r="A799" s="295"/>
      <c r="B799" s="295"/>
      <c r="C799" s="296"/>
      <c r="D799" s="296"/>
      <c r="E799" s="296"/>
      <c r="F799" s="296"/>
      <c r="G799" s="296"/>
      <c r="H799" s="297"/>
      <c r="I799" s="296"/>
      <c r="J799" s="296"/>
      <c r="K799" s="296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</row>
    <row r="800" spans="1:21">
      <c r="A800" s="295"/>
      <c r="B800" s="295"/>
      <c r="C800" s="296"/>
      <c r="D800" s="296"/>
      <c r="E800" s="296"/>
      <c r="F800" s="296"/>
      <c r="G800" s="296"/>
      <c r="H800" s="297"/>
      <c r="I800" s="296"/>
      <c r="J800" s="296"/>
      <c r="K800" s="296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</row>
    <row r="801" spans="1:21">
      <c r="A801" s="295"/>
      <c r="B801" s="295"/>
      <c r="C801" s="296"/>
      <c r="D801" s="296"/>
      <c r="E801" s="296"/>
      <c r="F801" s="296"/>
      <c r="G801" s="296"/>
      <c r="H801" s="297"/>
      <c r="I801" s="296"/>
      <c r="J801" s="296"/>
      <c r="K801" s="296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</row>
    <row r="802" spans="1:21">
      <c r="A802" s="295"/>
      <c r="B802" s="295"/>
      <c r="C802" s="296"/>
      <c r="D802" s="296"/>
      <c r="E802" s="296"/>
      <c r="F802" s="296"/>
      <c r="G802" s="296"/>
      <c r="H802" s="297"/>
      <c r="I802" s="296"/>
      <c r="J802" s="296"/>
      <c r="K802" s="296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</row>
    <row r="803" spans="1:21">
      <c r="A803" s="295"/>
      <c r="B803" s="295"/>
      <c r="C803" s="296"/>
      <c r="D803" s="296"/>
      <c r="E803" s="296"/>
      <c r="F803" s="296"/>
      <c r="G803" s="296"/>
      <c r="H803" s="297"/>
      <c r="I803" s="296"/>
      <c r="J803" s="296"/>
      <c r="K803" s="296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</row>
    <row r="804" spans="1:21">
      <c r="A804" s="295"/>
      <c r="B804" s="295"/>
      <c r="C804" s="296"/>
      <c r="D804" s="296"/>
      <c r="E804" s="296"/>
      <c r="F804" s="296"/>
      <c r="G804" s="296"/>
      <c r="H804" s="297"/>
      <c r="I804" s="296"/>
      <c r="J804" s="296"/>
      <c r="K804" s="296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</row>
    <row r="805" spans="1:21">
      <c r="A805" s="295"/>
      <c r="B805" s="295"/>
      <c r="C805" s="296"/>
      <c r="D805" s="296"/>
      <c r="E805" s="296"/>
      <c r="F805" s="296"/>
      <c r="G805" s="296"/>
      <c r="H805" s="297"/>
      <c r="I805" s="296"/>
      <c r="J805" s="296"/>
      <c r="K805" s="296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</row>
    <row r="806" spans="1:21">
      <c r="A806" s="295"/>
      <c r="B806" s="295"/>
      <c r="C806" s="296"/>
      <c r="D806" s="296"/>
      <c r="E806" s="296"/>
      <c r="F806" s="296"/>
      <c r="G806" s="296"/>
      <c r="H806" s="297"/>
      <c r="I806" s="296"/>
      <c r="J806" s="296"/>
      <c r="K806" s="296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</row>
    <row r="807" spans="1:21">
      <c r="A807" s="295"/>
      <c r="B807" s="295"/>
      <c r="C807" s="296"/>
      <c r="D807" s="296"/>
      <c r="E807" s="296"/>
      <c r="F807" s="296"/>
      <c r="G807" s="296"/>
      <c r="H807" s="297"/>
      <c r="I807" s="296"/>
      <c r="J807" s="296"/>
      <c r="K807" s="296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</row>
    <row r="808" spans="1:21">
      <c r="A808" s="295"/>
      <c r="B808" s="295"/>
      <c r="C808" s="296"/>
      <c r="D808" s="296"/>
      <c r="E808" s="296"/>
      <c r="F808" s="296"/>
      <c r="G808" s="296"/>
      <c r="H808" s="297"/>
      <c r="I808" s="296"/>
      <c r="J808" s="296"/>
      <c r="K808" s="296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</row>
    <row r="809" spans="1:21">
      <c r="A809" s="295"/>
      <c r="B809" s="295"/>
      <c r="C809" s="296"/>
      <c r="D809" s="296"/>
      <c r="E809" s="296"/>
      <c r="F809" s="296"/>
      <c r="G809" s="296"/>
      <c r="H809" s="297"/>
      <c r="I809" s="296"/>
      <c r="J809" s="296"/>
      <c r="K809" s="296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</row>
    <row r="810" spans="1:21">
      <c r="A810" s="295"/>
      <c r="B810" s="295"/>
      <c r="C810" s="296"/>
      <c r="D810" s="296"/>
      <c r="E810" s="296"/>
      <c r="F810" s="296"/>
      <c r="G810" s="296"/>
      <c r="H810" s="297"/>
      <c r="I810" s="296"/>
      <c r="J810" s="296"/>
      <c r="K810" s="296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</row>
    <row r="811" spans="1:21">
      <c r="A811" s="295"/>
      <c r="B811" s="295"/>
      <c r="C811" s="296"/>
      <c r="D811" s="296"/>
      <c r="E811" s="296"/>
      <c r="F811" s="296"/>
      <c r="G811" s="296"/>
      <c r="H811" s="297"/>
      <c r="I811" s="296"/>
      <c r="J811" s="296"/>
      <c r="K811" s="296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</row>
    <row r="812" spans="1:21">
      <c r="A812" s="295"/>
      <c r="B812" s="295"/>
      <c r="C812" s="296"/>
      <c r="D812" s="296"/>
      <c r="E812" s="296"/>
      <c r="F812" s="296"/>
      <c r="G812" s="296"/>
      <c r="H812" s="297"/>
      <c r="I812" s="296"/>
      <c r="J812" s="296"/>
      <c r="K812" s="296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</row>
    <row r="813" spans="1:21">
      <c r="A813" s="295"/>
      <c r="B813" s="295"/>
      <c r="C813" s="296"/>
      <c r="D813" s="296"/>
      <c r="E813" s="296"/>
      <c r="F813" s="296"/>
      <c r="G813" s="296"/>
      <c r="H813" s="297"/>
      <c r="I813" s="296"/>
      <c r="J813" s="296"/>
      <c r="K813" s="296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</row>
    <row r="814" spans="1:21">
      <c r="A814" s="295"/>
      <c r="B814" s="295"/>
      <c r="C814" s="296"/>
      <c r="D814" s="296"/>
      <c r="E814" s="296"/>
      <c r="F814" s="296"/>
      <c r="G814" s="296"/>
      <c r="H814" s="297"/>
      <c r="I814" s="296"/>
      <c r="J814" s="296"/>
      <c r="K814" s="296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</row>
    <row r="815" spans="1:21">
      <c r="A815" s="295"/>
      <c r="B815" s="295"/>
      <c r="C815" s="296"/>
      <c r="D815" s="296"/>
      <c r="E815" s="296"/>
      <c r="F815" s="296"/>
      <c r="G815" s="296"/>
      <c r="H815" s="297"/>
      <c r="I815" s="296"/>
      <c r="J815" s="296"/>
      <c r="K815" s="296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</row>
    <row r="816" spans="1:21">
      <c r="A816" s="295"/>
      <c r="B816" s="295"/>
      <c r="C816" s="296"/>
      <c r="D816" s="296"/>
      <c r="E816" s="296"/>
      <c r="F816" s="296"/>
      <c r="G816" s="296"/>
      <c r="H816" s="297"/>
      <c r="I816" s="296"/>
      <c r="J816" s="296"/>
      <c r="K816" s="296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</row>
    <row r="817" spans="1:21">
      <c r="A817" s="295"/>
      <c r="B817" s="295"/>
      <c r="C817" s="296"/>
      <c r="D817" s="296"/>
      <c r="E817" s="296"/>
      <c r="F817" s="296"/>
      <c r="G817" s="296"/>
      <c r="H817" s="297"/>
      <c r="I817" s="296"/>
      <c r="J817" s="296"/>
      <c r="K817" s="296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</row>
    <row r="818" spans="1:21">
      <c r="A818" s="295"/>
      <c r="B818" s="295"/>
      <c r="C818" s="296"/>
      <c r="D818" s="296"/>
      <c r="E818" s="296"/>
      <c r="F818" s="296"/>
      <c r="G818" s="296"/>
      <c r="H818" s="297"/>
      <c r="I818" s="296"/>
      <c r="J818" s="296"/>
      <c r="K818" s="296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</row>
    <row r="819" spans="1:21">
      <c r="A819" s="295"/>
      <c r="B819" s="295"/>
      <c r="C819" s="296"/>
      <c r="D819" s="296"/>
      <c r="E819" s="296"/>
      <c r="F819" s="296"/>
      <c r="G819" s="296"/>
      <c r="H819" s="297"/>
      <c r="I819" s="296"/>
      <c r="J819" s="296"/>
      <c r="K819" s="296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</row>
    <row r="820" spans="1:21">
      <c r="A820" s="295"/>
      <c r="B820" s="295"/>
      <c r="C820" s="296"/>
      <c r="D820" s="296"/>
      <c r="E820" s="296"/>
      <c r="F820" s="296"/>
      <c r="G820" s="296"/>
      <c r="H820" s="297"/>
      <c r="I820" s="296"/>
      <c r="J820" s="296"/>
      <c r="K820" s="296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</row>
    <row r="821" spans="1:21">
      <c r="A821" s="295"/>
      <c r="B821" s="295"/>
      <c r="C821" s="296"/>
      <c r="D821" s="296"/>
      <c r="E821" s="296"/>
      <c r="F821" s="296"/>
      <c r="G821" s="296"/>
      <c r="H821" s="297"/>
      <c r="I821" s="296"/>
      <c r="J821" s="296"/>
      <c r="K821" s="296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</row>
    <row r="822" spans="1:21">
      <c r="A822" s="295"/>
      <c r="B822" s="295"/>
      <c r="C822" s="296"/>
      <c r="D822" s="296"/>
      <c r="E822" s="296"/>
      <c r="F822" s="296"/>
      <c r="G822" s="296"/>
      <c r="H822" s="297"/>
      <c r="I822" s="296"/>
      <c r="J822" s="296"/>
      <c r="K822" s="296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</row>
    <row r="823" spans="1:21">
      <c r="A823" s="295"/>
      <c r="B823" s="295"/>
      <c r="C823" s="296"/>
      <c r="D823" s="296"/>
      <c r="E823" s="296"/>
      <c r="F823" s="296"/>
      <c r="G823" s="296"/>
      <c r="H823" s="297"/>
      <c r="I823" s="296"/>
      <c r="J823" s="296"/>
      <c r="K823" s="296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</row>
    <row r="824" spans="1:21">
      <c r="A824" s="295"/>
      <c r="B824" s="295"/>
      <c r="C824" s="296"/>
      <c r="D824" s="296"/>
      <c r="E824" s="296"/>
      <c r="F824" s="296"/>
      <c r="G824" s="296"/>
      <c r="H824" s="297"/>
      <c r="I824" s="296"/>
      <c r="J824" s="296"/>
      <c r="K824" s="296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</row>
    <row r="825" spans="1:21">
      <c r="A825" s="295"/>
      <c r="B825" s="295"/>
      <c r="C825" s="296"/>
      <c r="D825" s="296"/>
      <c r="E825" s="296"/>
      <c r="F825" s="296"/>
      <c r="G825" s="296"/>
      <c r="H825" s="297"/>
      <c r="I825" s="296"/>
      <c r="J825" s="296"/>
      <c r="K825" s="296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</row>
    <row r="826" spans="1:21">
      <c r="A826" s="295"/>
      <c r="B826" s="295"/>
      <c r="C826" s="296"/>
      <c r="D826" s="296"/>
      <c r="E826" s="296"/>
      <c r="F826" s="296"/>
      <c r="G826" s="296"/>
      <c r="H826" s="297"/>
      <c r="I826" s="296"/>
      <c r="J826" s="296"/>
      <c r="K826" s="296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</row>
    <row r="827" spans="1:21">
      <c r="A827" s="295"/>
      <c r="B827" s="295"/>
      <c r="C827" s="296"/>
      <c r="D827" s="296"/>
      <c r="E827" s="296"/>
      <c r="F827" s="296"/>
      <c r="G827" s="296"/>
      <c r="H827" s="297"/>
      <c r="I827" s="296"/>
      <c r="J827" s="296"/>
      <c r="K827" s="296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</row>
    <row r="828" spans="1:21">
      <c r="A828" s="295"/>
      <c r="B828" s="295"/>
      <c r="C828" s="296"/>
      <c r="D828" s="296"/>
      <c r="E828" s="296"/>
      <c r="F828" s="296"/>
      <c r="G828" s="296"/>
      <c r="H828" s="297"/>
      <c r="I828" s="296"/>
      <c r="J828" s="296"/>
      <c r="K828" s="296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</row>
    <row r="829" spans="1:21">
      <c r="A829" s="295"/>
      <c r="B829" s="295"/>
      <c r="C829" s="296"/>
      <c r="D829" s="296"/>
      <c r="E829" s="296"/>
      <c r="F829" s="296"/>
      <c r="G829" s="296"/>
      <c r="H829" s="297"/>
      <c r="I829" s="296"/>
      <c r="J829" s="296"/>
      <c r="K829" s="296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</row>
    <row r="830" spans="1:21">
      <c r="A830" s="295"/>
      <c r="B830" s="295"/>
      <c r="C830" s="296"/>
      <c r="D830" s="296"/>
      <c r="E830" s="296"/>
      <c r="F830" s="296"/>
      <c r="G830" s="296"/>
      <c r="H830" s="297"/>
      <c r="I830" s="296"/>
      <c r="J830" s="296"/>
      <c r="K830" s="296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</row>
    <row r="831" spans="1:21">
      <c r="A831" s="295"/>
      <c r="B831" s="295"/>
      <c r="C831" s="296"/>
      <c r="D831" s="296"/>
      <c r="E831" s="296"/>
      <c r="F831" s="296"/>
      <c r="G831" s="296"/>
      <c r="H831" s="297"/>
      <c r="I831" s="296"/>
      <c r="J831" s="296"/>
      <c r="K831" s="296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</row>
    <row r="832" spans="1:21">
      <c r="A832" s="295"/>
      <c r="B832" s="295"/>
      <c r="C832" s="296"/>
      <c r="D832" s="296"/>
      <c r="E832" s="296"/>
      <c r="F832" s="296"/>
      <c r="G832" s="296"/>
      <c r="H832" s="297"/>
      <c r="I832" s="296"/>
      <c r="J832" s="296"/>
      <c r="K832" s="296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</row>
    <row r="833" spans="1:21">
      <c r="A833" s="295"/>
      <c r="B833" s="295"/>
      <c r="C833" s="296"/>
      <c r="D833" s="296"/>
      <c r="E833" s="296"/>
      <c r="F833" s="296"/>
      <c r="G833" s="296"/>
      <c r="H833" s="297"/>
      <c r="I833" s="296"/>
      <c r="J833" s="296"/>
      <c r="K833" s="296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</row>
    <row r="834" spans="1:21">
      <c r="A834" s="295"/>
      <c r="B834" s="295"/>
      <c r="C834" s="296"/>
      <c r="D834" s="296"/>
      <c r="E834" s="296"/>
      <c r="F834" s="296"/>
      <c r="G834" s="296"/>
      <c r="H834" s="297"/>
      <c r="I834" s="296"/>
      <c r="J834" s="296"/>
      <c r="K834" s="296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</row>
    <row r="835" spans="1:21">
      <c r="A835" s="295"/>
      <c r="B835" s="295"/>
      <c r="C835" s="296"/>
      <c r="D835" s="296"/>
      <c r="E835" s="296"/>
      <c r="F835" s="296"/>
      <c r="G835" s="296"/>
      <c r="H835" s="297"/>
      <c r="I835" s="296"/>
      <c r="J835" s="296"/>
      <c r="K835" s="296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</row>
    <row r="836" spans="1:21">
      <c r="A836" s="295"/>
      <c r="B836" s="295"/>
      <c r="C836" s="296"/>
      <c r="D836" s="296"/>
      <c r="E836" s="296"/>
      <c r="F836" s="296"/>
      <c r="G836" s="296"/>
      <c r="H836" s="297"/>
      <c r="I836" s="296"/>
      <c r="J836" s="296"/>
      <c r="K836" s="296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</row>
    <row r="837" spans="1:21">
      <c r="A837" s="295"/>
      <c r="B837" s="295"/>
      <c r="C837" s="296"/>
      <c r="D837" s="296"/>
      <c r="E837" s="296"/>
      <c r="F837" s="296"/>
      <c r="G837" s="296"/>
      <c r="H837" s="297"/>
      <c r="I837" s="296"/>
      <c r="J837" s="296"/>
      <c r="K837" s="296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</row>
    <row r="838" spans="1:21">
      <c r="A838" s="295"/>
      <c r="B838" s="295"/>
      <c r="C838" s="296"/>
      <c r="D838" s="296"/>
      <c r="E838" s="296"/>
      <c r="F838" s="296"/>
      <c r="G838" s="296"/>
      <c r="H838" s="297"/>
      <c r="I838" s="296"/>
      <c r="J838" s="296"/>
      <c r="K838" s="296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</row>
    <row r="839" spans="1:21">
      <c r="A839" s="295"/>
      <c r="B839" s="295"/>
      <c r="C839" s="296"/>
      <c r="D839" s="296"/>
      <c r="E839" s="296"/>
      <c r="F839" s="296"/>
      <c r="G839" s="296"/>
      <c r="H839" s="297"/>
      <c r="I839" s="296"/>
      <c r="J839" s="296"/>
      <c r="K839" s="296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</row>
    <row r="840" spans="1:21">
      <c r="A840" s="295"/>
      <c r="B840" s="295"/>
      <c r="C840" s="296"/>
      <c r="D840" s="296"/>
      <c r="E840" s="296"/>
      <c r="F840" s="296"/>
      <c r="G840" s="296"/>
      <c r="H840" s="297"/>
      <c r="I840" s="296"/>
      <c r="J840" s="296"/>
      <c r="K840" s="296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</row>
    <row r="841" spans="1:21">
      <c r="A841" s="295"/>
      <c r="B841" s="295"/>
      <c r="C841" s="296"/>
      <c r="D841" s="296"/>
      <c r="E841" s="296"/>
      <c r="F841" s="296"/>
      <c r="G841" s="296"/>
      <c r="H841" s="297"/>
      <c r="I841" s="296"/>
      <c r="J841" s="296"/>
      <c r="K841" s="296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</row>
    <row r="842" spans="1:21">
      <c r="A842" s="295"/>
      <c r="B842" s="295"/>
      <c r="C842" s="296"/>
      <c r="D842" s="296"/>
      <c r="E842" s="296"/>
      <c r="F842" s="296"/>
      <c r="G842" s="296"/>
      <c r="H842" s="297"/>
      <c r="I842" s="296"/>
      <c r="J842" s="296"/>
      <c r="K842" s="296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</row>
    <row r="843" spans="1:21">
      <c r="A843" s="295"/>
      <c r="B843" s="295"/>
      <c r="C843" s="296"/>
      <c r="D843" s="296"/>
      <c r="E843" s="296"/>
      <c r="F843" s="296"/>
      <c r="G843" s="296"/>
      <c r="H843" s="297"/>
      <c r="I843" s="296"/>
      <c r="J843" s="296"/>
      <c r="K843" s="296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</row>
    <row r="844" spans="1:21">
      <c r="A844" s="295"/>
      <c r="B844" s="295"/>
      <c r="C844" s="296"/>
      <c r="D844" s="296"/>
      <c r="E844" s="296"/>
      <c r="F844" s="296"/>
      <c r="G844" s="296"/>
      <c r="H844" s="297"/>
      <c r="I844" s="296"/>
      <c r="J844" s="296"/>
      <c r="K844" s="296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</row>
    <row r="845" spans="1:21">
      <c r="A845" s="295"/>
      <c r="B845" s="295"/>
      <c r="C845" s="296"/>
      <c r="D845" s="296"/>
      <c r="E845" s="296"/>
      <c r="F845" s="296"/>
      <c r="G845" s="296"/>
      <c r="H845" s="297"/>
      <c r="I845" s="296"/>
      <c r="J845" s="296"/>
      <c r="K845" s="296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</row>
    <row r="846" spans="1:21">
      <c r="A846" s="295"/>
      <c r="B846" s="295"/>
      <c r="C846" s="296"/>
      <c r="D846" s="296"/>
      <c r="E846" s="296"/>
      <c r="F846" s="296"/>
      <c r="G846" s="296"/>
      <c r="H846" s="297"/>
      <c r="I846" s="296"/>
      <c r="J846" s="296"/>
      <c r="K846" s="296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</row>
    <row r="847" spans="1:21">
      <c r="A847" s="295"/>
      <c r="B847" s="295"/>
      <c r="C847" s="296"/>
      <c r="D847" s="296"/>
      <c r="E847" s="296"/>
      <c r="F847" s="296"/>
      <c r="G847" s="296"/>
      <c r="H847" s="297"/>
      <c r="I847" s="296"/>
      <c r="J847" s="296"/>
      <c r="K847" s="296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</row>
    <row r="848" spans="1:21">
      <c r="A848" s="295"/>
      <c r="B848" s="295"/>
      <c r="C848" s="296"/>
      <c r="D848" s="296"/>
      <c r="E848" s="296"/>
      <c r="F848" s="296"/>
      <c r="G848" s="296"/>
      <c r="H848" s="297"/>
      <c r="I848" s="296"/>
      <c r="J848" s="296"/>
      <c r="K848" s="296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</row>
    <row r="849" spans="1:21">
      <c r="A849" s="295"/>
      <c r="B849" s="295"/>
      <c r="C849" s="296"/>
      <c r="D849" s="296"/>
      <c r="E849" s="296"/>
      <c r="F849" s="296"/>
      <c r="G849" s="296"/>
      <c r="H849" s="297"/>
      <c r="I849" s="296"/>
      <c r="J849" s="296"/>
      <c r="K849" s="296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</row>
    <row r="850" spans="1:21">
      <c r="A850" s="295"/>
      <c r="B850" s="295"/>
      <c r="C850" s="296"/>
      <c r="D850" s="296"/>
      <c r="E850" s="296"/>
      <c r="F850" s="296"/>
      <c r="G850" s="296"/>
      <c r="H850" s="297"/>
      <c r="I850" s="296"/>
      <c r="J850" s="296"/>
      <c r="K850" s="296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</row>
    <row r="851" spans="1:21">
      <c r="A851" s="295"/>
      <c r="B851" s="295"/>
      <c r="C851" s="296"/>
      <c r="D851" s="296"/>
      <c r="E851" s="296"/>
      <c r="F851" s="296"/>
      <c r="G851" s="296"/>
      <c r="H851" s="297"/>
      <c r="I851" s="296"/>
      <c r="J851" s="296"/>
      <c r="K851" s="296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</row>
    <row r="852" spans="1:21">
      <c r="A852" s="295"/>
      <c r="B852" s="295"/>
      <c r="C852" s="296"/>
      <c r="D852" s="296"/>
      <c r="E852" s="296"/>
      <c r="F852" s="296"/>
      <c r="G852" s="296"/>
      <c r="H852" s="297"/>
      <c r="I852" s="296"/>
      <c r="J852" s="296"/>
      <c r="K852" s="296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</row>
    <row r="853" spans="1:21">
      <c r="A853" s="295"/>
      <c r="B853" s="295"/>
      <c r="C853" s="296"/>
      <c r="D853" s="296"/>
      <c r="E853" s="296"/>
      <c r="F853" s="296"/>
      <c r="G853" s="296"/>
      <c r="H853" s="297"/>
      <c r="I853" s="296"/>
      <c r="J853" s="296"/>
      <c r="K853" s="296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</row>
    <row r="854" spans="1:21">
      <c r="A854" s="295"/>
      <c r="B854" s="295"/>
      <c r="C854" s="296"/>
      <c r="D854" s="296"/>
      <c r="E854" s="296"/>
      <c r="F854" s="296"/>
      <c r="G854" s="296"/>
      <c r="H854" s="297"/>
      <c r="I854" s="296"/>
      <c r="J854" s="296"/>
      <c r="K854" s="296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</row>
    <row r="855" spans="1:21">
      <c r="A855" s="295"/>
      <c r="B855" s="295"/>
      <c r="C855" s="296"/>
      <c r="D855" s="296"/>
      <c r="E855" s="296"/>
      <c r="F855" s="296"/>
      <c r="G855" s="296"/>
      <c r="H855" s="297"/>
      <c r="I855" s="296"/>
      <c r="J855" s="296"/>
      <c r="K855" s="296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</row>
    <row r="856" spans="1:21">
      <c r="A856" s="295"/>
      <c r="B856" s="295"/>
      <c r="C856" s="296"/>
      <c r="D856" s="296"/>
      <c r="E856" s="296"/>
      <c r="F856" s="296"/>
      <c r="G856" s="296"/>
      <c r="H856" s="297"/>
      <c r="I856" s="296"/>
      <c r="J856" s="296"/>
      <c r="K856" s="296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</row>
    <row r="857" spans="1:21">
      <c r="A857" s="295"/>
      <c r="B857" s="295"/>
      <c r="C857" s="296"/>
      <c r="D857" s="296"/>
      <c r="E857" s="296"/>
      <c r="F857" s="296"/>
      <c r="G857" s="296"/>
      <c r="H857" s="297"/>
      <c r="I857" s="296"/>
      <c r="J857" s="296"/>
      <c r="K857" s="296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</row>
    <row r="858" spans="1:21">
      <c r="A858" s="295"/>
      <c r="B858" s="295"/>
      <c r="C858" s="296"/>
      <c r="D858" s="296"/>
      <c r="E858" s="296"/>
      <c r="F858" s="296"/>
      <c r="G858" s="296"/>
      <c r="H858" s="297"/>
      <c r="I858" s="296"/>
      <c r="J858" s="296"/>
      <c r="K858" s="296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</row>
    <row r="859" spans="1:21">
      <c r="A859" s="295"/>
      <c r="B859" s="295"/>
      <c r="C859" s="296"/>
      <c r="D859" s="296"/>
      <c r="E859" s="296"/>
      <c r="F859" s="296"/>
      <c r="G859" s="296"/>
      <c r="H859" s="297"/>
      <c r="I859" s="296"/>
      <c r="J859" s="296"/>
      <c r="K859" s="296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</row>
    <row r="860" spans="1:21">
      <c r="A860" s="295"/>
      <c r="B860" s="295"/>
      <c r="C860" s="296"/>
      <c r="D860" s="296"/>
      <c r="E860" s="296"/>
      <c r="F860" s="296"/>
      <c r="G860" s="296"/>
      <c r="H860" s="297"/>
      <c r="I860" s="296"/>
      <c r="J860" s="296"/>
      <c r="K860" s="296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</row>
    <row r="861" spans="1:21">
      <c r="A861" s="295"/>
      <c r="B861" s="295"/>
      <c r="C861" s="296"/>
      <c r="D861" s="296"/>
      <c r="E861" s="296"/>
      <c r="F861" s="296"/>
      <c r="G861" s="296"/>
      <c r="H861" s="297"/>
      <c r="I861" s="296"/>
      <c r="J861" s="296"/>
      <c r="K861" s="296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</row>
    <row r="862" spans="1:21">
      <c r="A862" s="295"/>
      <c r="B862" s="295"/>
      <c r="C862" s="296"/>
      <c r="D862" s="296"/>
      <c r="E862" s="296"/>
      <c r="F862" s="296"/>
      <c r="G862" s="296"/>
      <c r="H862" s="297"/>
      <c r="I862" s="296"/>
      <c r="J862" s="296"/>
      <c r="K862" s="296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</row>
    <row r="863" spans="1:21">
      <c r="A863" s="295"/>
      <c r="B863" s="295"/>
      <c r="C863" s="296"/>
      <c r="D863" s="296"/>
      <c r="E863" s="296"/>
      <c r="F863" s="296"/>
      <c r="G863" s="296"/>
      <c r="H863" s="297"/>
      <c r="I863" s="296"/>
      <c r="J863" s="296"/>
      <c r="K863" s="296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</row>
    <row r="864" spans="1:21">
      <c r="A864" s="295"/>
      <c r="B864" s="295"/>
      <c r="C864" s="296"/>
      <c r="D864" s="296"/>
      <c r="E864" s="296"/>
      <c r="F864" s="296"/>
      <c r="G864" s="296"/>
      <c r="H864" s="297"/>
      <c r="I864" s="296"/>
      <c r="J864" s="296"/>
      <c r="K864" s="296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</row>
    <row r="865" spans="1:21">
      <c r="A865" s="295"/>
      <c r="B865" s="295"/>
      <c r="C865" s="296"/>
      <c r="D865" s="296"/>
      <c r="E865" s="296"/>
      <c r="F865" s="296"/>
      <c r="G865" s="296"/>
      <c r="H865" s="297"/>
      <c r="I865" s="296"/>
      <c r="J865" s="296"/>
      <c r="K865" s="296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</row>
    <row r="866" spans="1:21">
      <c r="A866" s="295"/>
      <c r="B866" s="295"/>
      <c r="C866" s="296"/>
      <c r="D866" s="296"/>
      <c r="E866" s="296"/>
      <c r="F866" s="296"/>
      <c r="G866" s="296"/>
      <c r="H866" s="297"/>
      <c r="I866" s="296"/>
      <c r="J866" s="296"/>
      <c r="K866" s="296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</row>
    <row r="867" spans="1:21">
      <c r="A867" s="295"/>
      <c r="B867" s="295"/>
      <c r="C867" s="296"/>
      <c r="D867" s="296"/>
      <c r="E867" s="296"/>
      <c r="F867" s="296"/>
      <c r="G867" s="296"/>
      <c r="H867" s="297"/>
      <c r="I867" s="296"/>
      <c r="J867" s="296"/>
      <c r="K867" s="296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</row>
    <row r="868" spans="1:21">
      <c r="A868" s="295"/>
      <c r="B868" s="295"/>
      <c r="C868" s="296"/>
      <c r="D868" s="296"/>
      <c r="E868" s="296"/>
      <c r="F868" s="296"/>
      <c r="G868" s="296"/>
      <c r="H868" s="297"/>
      <c r="I868" s="296"/>
      <c r="J868" s="296"/>
      <c r="K868" s="296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</row>
    <row r="869" spans="1:21">
      <c r="A869" s="295"/>
      <c r="B869" s="295"/>
      <c r="C869" s="296"/>
      <c r="D869" s="296"/>
      <c r="E869" s="296"/>
      <c r="F869" s="296"/>
      <c r="G869" s="296"/>
      <c r="H869" s="297"/>
      <c r="I869" s="296"/>
      <c r="J869" s="296"/>
      <c r="K869" s="296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</row>
    <row r="870" spans="1:21">
      <c r="A870" s="295"/>
      <c r="B870" s="295"/>
      <c r="C870" s="296"/>
      <c r="D870" s="296"/>
      <c r="E870" s="296"/>
      <c r="F870" s="296"/>
      <c r="G870" s="296"/>
      <c r="H870" s="297"/>
      <c r="I870" s="296"/>
      <c r="J870" s="296"/>
      <c r="K870" s="296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</row>
    <row r="871" spans="1:21">
      <c r="A871" s="295"/>
      <c r="B871" s="295"/>
      <c r="C871" s="296"/>
      <c r="D871" s="296"/>
      <c r="E871" s="296"/>
      <c r="F871" s="296"/>
      <c r="G871" s="296"/>
      <c r="H871" s="297"/>
      <c r="I871" s="296"/>
      <c r="J871" s="296"/>
      <c r="K871" s="296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</row>
    <row r="872" spans="1:21">
      <c r="A872" s="295"/>
      <c r="B872" s="295"/>
      <c r="C872" s="296"/>
      <c r="D872" s="296"/>
      <c r="E872" s="296"/>
      <c r="F872" s="296"/>
      <c r="G872" s="296"/>
      <c r="H872" s="297"/>
      <c r="I872" s="296"/>
      <c r="J872" s="296"/>
      <c r="K872" s="296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</row>
    <row r="873" spans="1:21">
      <c r="A873" s="295"/>
      <c r="B873" s="295"/>
      <c r="C873" s="296"/>
      <c r="D873" s="296"/>
      <c r="E873" s="296"/>
      <c r="F873" s="296"/>
      <c r="G873" s="296"/>
      <c r="H873" s="297"/>
      <c r="I873" s="296"/>
      <c r="J873" s="296"/>
      <c r="K873" s="296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</row>
    <row r="874" spans="1:21">
      <c r="A874" s="295"/>
      <c r="B874" s="295"/>
      <c r="C874" s="296"/>
      <c r="D874" s="296"/>
      <c r="E874" s="296"/>
      <c r="F874" s="296"/>
      <c r="G874" s="296"/>
      <c r="H874" s="297"/>
      <c r="I874" s="296"/>
      <c r="J874" s="296"/>
      <c r="K874" s="296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</row>
    <row r="875" spans="1:21">
      <c r="A875" s="295"/>
      <c r="B875" s="295"/>
      <c r="C875" s="296"/>
      <c r="D875" s="296"/>
      <c r="E875" s="296"/>
      <c r="F875" s="296"/>
      <c r="G875" s="296"/>
      <c r="H875" s="297"/>
      <c r="I875" s="296"/>
      <c r="J875" s="296"/>
      <c r="K875" s="296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</row>
    <row r="876" spans="1:21">
      <c r="A876" s="295"/>
      <c r="B876" s="295"/>
      <c r="C876" s="296"/>
      <c r="D876" s="296"/>
      <c r="E876" s="296"/>
      <c r="F876" s="296"/>
      <c r="G876" s="296"/>
      <c r="H876" s="297"/>
      <c r="I876" s="296"/>
      <c r="J876" s="296"/>
      <c r="K876" s="296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</row>
    <row r="877" spans="1:21">
      <c r="A877" s="295"/>
      <c r="B877" s="295"/>
      <c r="C877" s="296"/>
      <c r="D877" s="296"/>
      <c r="E877" s="296"/>
      <c r="F877" s="296"/>
      <c r="G877" s="296"/>
      <c r="H877" s="297"/>
      <c r="I877" s="296"/>
      <c r="J877" s="296"/>
      <c r="K877" s="296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</row>
    <row r="878" spans="1:21">
      <c r="A878" s="295"/>
      <c r="B878" s="295"/>
      <c r="C878" s="296"/>
      <c r="D878" s="296"/>
      <c r="E878" s="296"/>
      <c r="F878" s="296"/>
      <c r="G878" s="296"/>
      <c r="H878" s="297"/>
      <c r="I878" s="296"/>
      <c r="J878" s="296"/>
      <c r="K878" s="296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</row>
    <row r="879" spans="1:21">
      <c r="A879" s="295"/>
      <c r="B879" s="295"/>
      <c r="C879" s="296"/>
      <c r="D879" s="296"/>
      <c r="E879" s="296"/>
      <c r="F879" s="296"/>
      <c r="G879" s="296"/>
      <c r="H879" s="297"/>
      <c r="I879" s="296"/>
      <c r="J879" s="296"/>
      <c r="K879" s="296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</row>
    <row r="880" spans="1:21">
      <c r="A880" s="295"/>
      <c r="B880" s="295"/>
      <c r="C880" s="296"/>
      <c r="D880" s="296"/>
      <c r="E880" s="296"/>
      <c r="F880" s="296"/>
      <c r="G880" s="296"/>
      <c r="H880" s="297"/>
      <c r="I880" s="296"/>
      <c r="J880" s="296"/>
      <c r="K880" s="296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</row>
    <row r="881" spans="1:21">
      <c r="A881" s="295"/>
      <c r="B881" s="295"/>
      <c r="C881" s="296"/>
      <c r="D881" s="296"/>
      <c r="E881" s="296"/>
      <c r="F881" s="296"/>
      <c r="G881" s="296"/>
      <c r="H881" s="297"/>
      <c r="I881" s="296"/>
      <c r="J881" s="296"/>
      <c r="K881" s="296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</row>
    <row r="882" spans="1:21">
      <c r="A882" s="295"/>
      <c r="B882" s="295"/>
      <c r="C882" s="296"/>
      <c r="D882" s="296"/>
      <c r="E882" s="296"/>
      <c r="F882" s="296"/>
      <c r="G882" s="296"/>
      <c r="H882" s="297"/>
      <c r="I882" s="296"/>
      <c r="J882" s="296"/>
      <c r="K882" s="296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</row>
    <row r="883" spans="1:21">
      <c r="A883" s="295"/>
      <c r="B883" s="295"/>
      <c r="C883" s="296"/>
      <c r="D883" s="296"/>
      <c r="E883" s="296"/>
      <c r="F883" s="296"/>
      <c r="G883" s="296"/>
      <c r="H883" s="297"/>
      <c r="I883" s="296"/>
      <c r="J883" s="296"/>
      <c r="K883" s="296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</row>
    <row r="884" spans="1:21">
      <c r="A884" s="295"/>
      <c r="B884" s="295"/>
      <c r="C884" s="296"/>
      <c r="D884" s="296"/>
      <c r="E884" s="296"/>
      <c r="F884" s="296"/>
      <c r="G884" s="296"/>
      <c r="H884" s="297"/>
      <c r="I884" s="296"/>
      <c r="J884" s="296"/>
      <c r="K884" s="296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</row>
    <row r="885" spans="1:21">
      <c r="A885" s="295"/>
      <c r="B885" s="295"/>
      <c r="C885" s="296"/>
      <c r="D885" s="296"/>
      <c r="E885" s="296"/>
      <c r="F885" s="296"/>
      <c r="G885" s="296"/>
      <c r="H885" s="297"/>
      <c r="I885" s="296"/>
      <c r="J885" s="296"/>
      <c r="K885" s="296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</row>
    <row r="886" spans="1:21">
      <c r="A886" s="295"/>
      <c r="B886" s="295"/>
      <c r="C886" s="296"/>
      <c r="D886" s="296"/>
      <c r="E886" s="296"/>
      <c r="F886" s="296"/>
      <c r="G886" s="296"/>
      <c r="H886" s="297"/>
      <c r="I886" s="296"/>
      <c r="J886" s="296"/>
      <c r="K886" s="296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</row>
    <row r="887" spans="1:21">
      <c r="A887" s="295"/>
      <c r="B887" s="295"/>
      <c r="C887" s="296"/>
      <c r="D887" s="296"/>
      <c r="E887" s="296"/>
      <c r="F887" s="296"/>
      <c r="G887" s="296"/>
      <c r="H887" s="297"/>
      <c r="I887" s="296"/>
      <c r="J887" s="296"/>
      <c r="K887" s="296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</row>
    <row r="888" spans="1:21">
      <c r="A888" s="295"/>
      <c r="B888" s="295"/>
      <c r="C888" s="296"/>
      <c r="D888" s="296"/>
      <c r="E888" s="296"/>
      <c r="F888" s="296"/>
      <c r="G888" s="296"/>
      <c r="H888" s="297"/>
      <c r="I888" s="296"/>
      <c r="J888" s="296"/>
      <c r="K888" s="296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</row>
    <row r="889" spans="1:21">
      <c r="A889" s="295"/>
      <c r="B889" s="295"/>
      <c r="C889" s="296"/>
      <c r="D889" s="296"/>
      <c r="E889" s="296"/>
      <c r="F889" s="296"/>
      <c r="G889" s="296"/>
      <c r="H889" s="297"/>
      <c r="I889" s="296"/>
      <c r="J889" s="296"/>
      <c r="K889" s="296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</row>
    <row r="890" spans="1:21">
      <c r="A890" s="295"/>
      <c r="B890" s="295"/>
      <c r="C890" s="296"/>
      <c r="D890" s="296"/>
      <c r="E890" s="296"/>
      <c r="F890" s="296"/>
      <c r="G890" s="296"/>
      <c r="H890" s="297"/>
      <c r="I890" s="296"/>
      <c r="J890" s="296"/>
      <c r="K890" s="296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</row>
    <row r="891" spans="1:21">
      <c r="A891" s="295"/>
      <c r="B891" s="295"/>
      <c r="C891" s="296"/>
      <c r="D891" s="296"/>
      <c r="E891" s="296"/>
      <c r="F891" s="296"/>
      <c r="G891" s="296"/>
      <c r="H891" s="297"/>
      <c r="I891" s="296"/>
      <c r="J891" s="296"/>
      <c r="K891" s="296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</row>
    <row r="892" spans="1:21">
      <c r="A892" s="295"/>
      <c r="B892" s="295"/>
      <c r="C892" s="296"/>
      <c r="D892" s="296"/>
      <c r="E892" s="296"/>
      <c r="F892" s="296"/>
      <c r="G892" s="296"/>
      <c r="H892" s="297"/>
      <c r="I892" s="296"/>
      <c r="J892" s="296"/>
      <c r="K892" s="296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</row>
    <row r="893" spans="1:21">
      <c r="A893" s="295"/>
      <c r="B893" s="295"/>
      <c r="C893" s="296"/>
      <c r="D893" s="296"/>
      <c r="E893" s="296"/>
      <c r="F893" s="296"/>
      <c r="G893" s="296"/>
      <c r="H893" s="297"/>
      <c r="I893" s="296"/>
      <c r="J893" s="296"/>
      <c r="K893" s="296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</row>
    <row r="894" spans="1:21">
      <c r="A894" s="295"/>
      <c r="B894" s="295"/>
      <c r="C894" s="296"/>
      <c r="D894" s="296"/>
      <c r="E894" s="296"/>
      <c r="F894" s="296"/>
      <c r="G894" s="296"/>
      <c r="H894" s="297"/>
      <c r="I894" s="296"/>
      <c r="J894" s="296"/>
      <c r="K894" s="296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</row>
    <row r="895" spans="1:21">
      <c r="A895" s="295"/>
      <c r="B895" s="295"/>
      <c r="C895" s="296"/>
      <c r="D895" s="296"/>
      <c r="E895" s="296"/>
      <c r="F895" s="296"/>
      <c r="G895" s="296"/>
      <c r="H895" s="297"/>
      <c r="I895" s="296"/>
      <c r="J895" s="296"/>
      <c r="K895" s="296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</row>
    <row r="896" spans="1:21">
      <c r="A896" s="295"/>
      <c r="B896" s="295"/>
      <c r="C896" s="296"/>
      <c r="D896" s="296"/>
      <c r="E896" s="296"/>
      <c r="F896" s="296"/>
      <c r="G896" s="296"/>
      <c r="H896" s="297"/>
      <c r="I896" s="296"/>
      <c r="J896" s="296"/>
      <c r="K896" s="296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</row>
    <row r="897" spans="1:21">
      <c r="A897" s="295"/>
      <c r="B897" s="295"/>
      <c r="C897" s="296"/>
      <c r="D897" s="296"/>
      <c r="E897" s="296"/>
      <c r="F897" s="296"/>
      <c r="G897" s="296"/>
      <c r="H897" s="297"/>
      <c r="I897" s="296"/>
      <c r="J897" s="296"/>
      <c r="K897" s="296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</row>
    <row r="898" spans="1:21">
      <c r="A898" s="295"/>
      <c r="B898" s="295"/>
      <c r="C898" s="296"/>
      <c r="D898" s="296"/>
      <c r="E898" s="296"/>
      <c r="F898" s="296"/>
      <c r="G898" s="296"/>
      <c r="H898" s="297"/>
      <c r="I898" s="296"/>
      <c r="J898" s="296"/>
      <c r="K898" s="296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</row>
    <row r="899" spans="1:21">
      <c r="A899" s="295"/>
      <c r="B899" s="295"/>
      <c r="C899" s="296"/>
      <c r="D899" s="296"/>
      <c r="E899" s="296"/>
      <c r="F899" s="296"/>
      <c r="G899" s="296"/>
      <c r="H899" s="297"/>
      <c r="I899" s="296"/>
      <c r="J899" s="296"/>
      <c r="K899" s="296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</row>
    <row r="900" spans="1:21">
      <c r="A900" s="295"/>
      <c r="B900" s="295"/>
      <c r="C900" s="296"/>
      <c r="D900" s="296"/>
      <c r="E900" s="296"/>
      <c r="F900" s="296"/>
      <c r="G900" s="296"/>
      <c r="H900" s="297"/>
      <c r="I900" s="296"/>
      <c r="J900" s="296"/>
      <c r="K900" s="296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</row>
    <row r="901" spans="1:21">
      <c r="A901" s="295"/>
      <c r="B901" s="295"/>
      <c r="C901" s="296"/>
      <c r="D901" s="296"/>
      <c r="E901" s="296"/>
      <c r="F901" s="296"/>
      <c r="G901" s="296"/>
      <c r="H901" s="297"/>
      <c r="I901" s="296"/>
      <c r="J901" s="296"/>
      <c r="K901" s="296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</row>
    <row r="902" spans="1:21">
      <c r="A902" s="295"/>
      <c r="B902" s="295"/>
      <c r="C902" s="296"/>
      <c r="D902" s="296"/>
      <c r="E902" s="296"/>
      <c r="F902" s="296"/>
      <c r="G902" s="296"/>
      <c r="H902" s="297"/>
      <c r="I902" s="296"/>
      <c r="J902" s="296"/>
      <c r="K902" s="296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</row>
    <row r="903" spans="1:21">
      <c r="A903" s="295"/>
      <c r="B903" s="295"/>
      <c r="C903" s="296"/>
      <c r="D903" s="296"/>
      <c r="E903" s="296"/>
      <c r="F903" s="296"/>
      <c r="G903" s="296"/>
      <c r="H903" s="297"/>
      <c r="I903" s="296"/>
      <c r="J903" s="296"/>
      <c r="K903" s="296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</row>
    <row r="904" spans="1:21">
      <c r="A904" s="295"/>
      <c r="B904" s="295"/>
      <c r="C904" s="296"/>
      <c r="D904" s="296"/>
      <c r="E904" s="296"/>
      <c r="F904" s="296"/>
      <c r="G904" s="296"/>
      <c r="H904" s="297"/>
      <c r="I904" s="296"/>
      <c r="J904" s="296"/>
      <c r="K904" s="296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</row>
    <row r="905" spans="1:21">
      <c r="A905" s="295"/>
      <c r="B905" s="295"/>
      <c r="C905" s="296"/>
      <c r="D905" s="296"/>
      <c r="E905" s="296"/>
      <c r="F905" s="296"/>
      <c r="G905" s="296"/>
      <c r="H905" s="297"/>
      <c r="I905" s="296"/>
      <c r="J905" s="296"/>
      <c r="K905" s="296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</row>
    <row r="906" spans="1:21">
      <c r="A906" s="295"/>
      <c r="B906" s="295"/>
      <c r="C906" s="296"/>
      <c r="D906" s="296"/>
      <c r="E906" s="296"/>
      <c r="F906" s="296"/>
      <c r="G906" s="296"/>
      <c r="H906" s="297"/>
      <c r="I906" s="296"/>
      <c r="J906" s="296"/>
      <c r="K906" s="296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</row>
    <row r="907" spans="1:21">
      <c r="A907" s="295"/>
      <c r="B907" s="295"/>
      <c r="C907" s="296"/>
      <c r="D907" s="296"/>
      <c r="E907" s="296"/>
      <c r="F907" s="296"/>
      <c r="G907" s="296"/>
      <c r="H907" s="297"/>
      <c r="I907" s="296"/>
      <c r="J907" s="296"/>
      <c r="K907" s="296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</row>
    <row r="908" spans="1:21">
      <c r="A908" s="295"/>
      <c r="B908" s="295"/>
      <c r="C908" s="296"/>
      <c r="D908" s="296"/>
      <c r="E908" s="296"/>
      <c r="F908" s="296"/>
      <c r="G908" s="296"/>
      <c r="H908" s="297"/>
      <c r="I908" s="296"/>
      <c r="J908" s="296"/>
      <c r="K908" s="296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</row>
    <row r="909" spans="1:21">
      <c r="A909" s="295"/>
      <c r="B909" s="295"/>
      <c r="C909" s="296"/>
      <c r="D909" s="296"/>
      <c r="E909" s="296"/>
      <c r="F909" s="296"/>
      <c r="G909" s="296"/>
      <c r="H909" s="297"/>
      <c r="I909" s="296"/>
      <c r="J909" s="296"/>
      <c r="K909" s="296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</row>
    <row r="910" spans="1:21">
      <c r="A910" s="295"/>
      <c r="B910" s="295"/>
      <c r="C910" s="296"/>
      <c r="D910" s="296"/>
      <c r="E910" s="296"/>
      <c r="F910" s="296"/>
      <c r="G910" s="296"/>
      <c r="H910" s="297"/>
      <c r="I910" s="296"/>
      <c r="J910" s="296"/>
      <c r="K910" s="296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</row>
    <row r="911" spans="1:21">
      <c r="A911" s="295"/>
      <c r="B911" s="295"/>
      <c r="C911" s="296"/>
      <c r="D911" s="296"/>
      <c r="E911" s="296"/>
      <c r="F911" s="296"/>
      <c r="G911" s="296"/>
      <c r="H911" s="297"/>
      <c r="I911" s="296"/>
      <c r="J911" s="296"/>
      <c r="K911" s="296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</row>
    <row r="912" spans="1:21">
      <c r="A912" s="295"/>
      <c r="B912" s="295"/>
      <c r="C912" s="296"/>
      <c r="D912" s="296"/>
      <c r="E912" s="296"/>
      <c r="F912" s="296"/>
      <c r="G912" s="296"/>
      <c r="H912" s="297"/>
      <c r="I912" s="296"/>
      <c r="J912" s="296"/>
      <c r="K912" s="296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</row>
    <row r="913" spans="1:21">
      <c r="A913" s="295"/>
      <c r="B913" s="295"/>
      <c r="C913" s="296"/>
      <c r="D913" s="296"/>
      <c r="E913" s="296"/>
      <c r="F913" s="296"/>
      <c r="G913" s="296"/>
      <c r="H913" s="297"/>
      <c r="I913" s="296"/>
      <c r="J913" s="296"/>
      <c r="K913" s="296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</row>
    <row r="914" spans="1:21">
      <c r="A914" s="295"/>
      <c r="B914" s="295"/>
      <c r="C914" s="296"/>
      <c r="D914" s="296"/>
      <c r="E914" s="296"/>
      <c r="F914" s="296"/>
      <c r="G914" s="296"/>
      <c r="H914" s="297"/>
      <c r="I914" s="296"/>
      <c r="J914" s="296"/>
      <c r="K914" s="296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</row>
    <row r="915" spans="1:21">
      <c r="A915" s="295"/>
      <c r="B915" s="295"/>
      <c r="C915" s="296"/>
      <c r="D915" s="296"/>
      <c r="E915" s="296"/>
      <c r="F915" s="296"/>
      <c r="G915" s="296"/>
      <c r="H915" s="297"/>
      <c r="I915" s="296"/>
      <c r="J915" s="296"/>
      <c r="K915" s="296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</row>
    <row r="916" spans="1:21">
      <c r="A916" s="295"/>
      <c r="B916" s="295"/>
      <c r="C916" s="296"/>
      <c r="D916" s="296"/>
      <c r="E916" s="296"/>
      <c r="F916" s="296"/>
      <c r="G916" s="296"/>
      <c r="H916" s="297"/>
      <c r="I916" s="296"/>
      <c r="J916" s="296"/>
      <c r="K916" s="296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</row>
    <row r="917" spans="1:21">
      <c r="A917" s="295"/>
      <c r="B917" s="295"/>
      <c r="C917" s="296"/>
      <c r="D917" s="296"/>
      <c r="E917" s="296"/>
      <c r="F917" s="296"/>
      <c r="G917" s="296"/>
      <c r="H917" s="297"/>
      <c r="I917" s="296"/>
      <c r="J917" s="296"/>
      <c r="K917" s="296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</row>
    <row r="918" spans="1:21">
      <c r="A918" s="295"/>
      <c r="B918" s="295"/>
      <c r="C918" s="296"/>
      <c r="D918" s="296"/>
      <c r="E918" s="296"/>
      <c r="F918" s="296"/>
      <c r="G918" s="296"/>
      <c r="H918" s="297"/>
      <c r="I918" s="296"/>
      <c r="J918" s="296"/>
      <c r="K918" s="296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</row>
  </sheetData>
  <mergeCells count="64">
    <mergeCell ref="V1:AA2"/>
    <mergeCell ref="A2:B2"/>
    <mergeCell ref="C2:G2"/>
    <mergeCell ref="I2:P2"/>
    <mergeCell ref="Q2:R2"/>
    <mergeCell ref="S2:U2"/>
    <mergeCell ref="C1:G1"/>
    <mergeCell ref="I1:J1"/>
    <mergeCell ref="K1:L1"/>
    <mergeCell ref="M1:P1"/>
    <mergeCell ref="Q1:R1"/>
    <mergeCell ref="S1:U1"/>
    <mergeCell ref="A3:B3"/>
    <mergeCell ref="C3:D3"/>
    <mergeCell ref="A4:B4"/>
    <mergeCell ref="A5:B5"/>
    <mergeCell ref="A6:B6"/>
    <mergeCell ref="V21:X29"/>
    <mergeCell ref="C22:C27"/>
    <mergeCell ref="D22:D27"/>
    <mergeCell ref="E22:E27"/>
    <mergeCell ref="L7:L8"/>
    <mergeCell ref="W7:X8"/>
    <mergeCell ref="I9:J16"/>
    <mergeCell ref="M9:P16"/>
    <mergeCell ref="S11:S12"/>
    <mergeCell ref="T11:T12"/>
    <mergeCell ref="U11:U12"/>
    <mergeCell ref="S13:S14"/>
    <mergeCell ref="T13:T14"/>
    <mergeCell ref="U13:U14"/>
    <mergeCell ref="K7:K8"/>
    <mergeCell ref="A17:B17"/>
    <mergeCell ref="A18:B18"/>
    <mergeCell ref="A19:B19"/>
    <mergeCell ref="V19:AA19"/>
    <mergeCell ref="A20:B20"/>
    <mergeCell ref="A37:B37"/>
    <mergeCell ref="F22:F27"/>
    <mergeCell ref="G22:G24"/>
    <mergeCell ref="S24:S25"/>
    <mergeCell ref="U24:U25"/>
    <mergeCell ref="G25:G27"/>
    <mergeCell ref="S26:S27"/>
    <mergeCell ref="U26:U27"/>
    <mergeCell ref="H21:P29"/>
    <mergeCell ref="S28:S29"/>
    <mergeCell ref="U28:U29"/>
    <mergeCell ref="A30:B30"/>
    <mergeCell ref="C31:G33"/>
    <mergeCell ref="Q31:R36"/>
    <mergeCell ref="K46:L46"/>
    <mergeCell ref="W46:X46"/>
    <mergeCell ref="A48:B48"/>
    <mergeCell ref="A49:B49"/>
    <mergeCell ref="I38:J45"/>
    <mergeCell ref="M38:P40"/>
    <mergeCell ref="Q38:R45"/>
    <mergeCell ref="S38:S39"/>
    <mergeCell ref="U38:U39"/>
    <mergeCell ref="S40:S41"/>
    <mergeCell ref="U40:U41"/>
    <mergeCell ref="M42:P44"/>
    <mergeCell ref="S42:U42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tabSelected="1" workbookViewId="0">
      <pane xSplit="2" ySplit="3" topLeftCell="H28" activePane="bottomRight" state="frozen"/>
      <selection pane="topRight" activeCell="C1" sqref="C1"/>
      <selection pane="bottomLeft" activeCell="A4" sqref="A4"/>
      <selection pane="bottomRight" activeCell="J64" sqref="J64"/>
    </sheetView>
  </sheetViews>
  <sheetFormatPr defaultColWidth="14.42578125" defaultRowHeight="15"/>
  <cols>
    <col min="1" max="1" width="5" style="180" customWidth="1"/>
    <col min="2" max="2" width="4.85546875" style="180" customWidth="1"/>
    <col min="3" max="3" width="8.7109375" style="180" hidden="1" customWidth="1"/>
    <col min="4" max="4" width="8.28515625" style="180" hidden="1" customWidth="1"/>
    <col min="5" max="5" width="8.5703125" style="180" hidden="1" customWidth="1"/>
    <col min="6" max="6" width="8.85546875" style="180" hidden="1" customWidth="1"/>
    <col min="7" max="7" width="7.5703125" style="180" hidden="1" customWidth="1"/>
    <col min="8" max="8" width="11.85546875" style="180" customWidth="1"/>
    <col min="9" max="9" width="23.7109375" style="180" customWidth="1"/>
    <col min="10" max="10" width="23.5703125" style="180" customWidth="1"/>
    <col min="11" max="11" width="13.140625" style="180" customWidth="1"/>
    <col min="12" max="12" width="13.28515625" style="180" customWidth="1"/>
    <col min="13" max="13" width="34.5703125" style="180" customWidth="1"/>
    <col min="14" max="14" width="31.85546875" style="180" bestFit="1" customWidth="1"/>
    <col min="15" max="15" width="32.28515625" style="180" bestFit="1" customWidth="1"/>
    <col min="16" max="16" width="31.140625" style="180" bestFit="1" customWidth="1"/>
    <col min="17" max="17" width="33.5703125" style="180" customWidth="1"/>
    <col min="18" max="18" width="33" style="180" customWidth="1"/>
    <col min="19" max="19" width="13.28515625" style="180" customWidth="1"/>
    <col min="20" max="20" width="12.7109375" style="180" customWidth="1"/>
    <col min="21" max="21" width="15.42578125" style="180" customWidth="1"/>
    <col min="22" max="16384" width="14.42578125" style="180"/>
  </cols>
  <sheetData>
    <row r="1" spans="1:22" ht="25.5">
      <c r="A1" s="177" t="s">
        <v>957</v>
      </c>
      <c r="B1" s="177" t="s">
        <v>958</v>
      </c>
      <c r="C1" s="495" t="s">
        <v>959</v>
      </c>
      <c r="D1" s="492"/>
      <c r="E1" s="492"/>
      <c r="F1" s="492"/>
      <c r="G1" s="492"/>
      <c r="H1" s="178" t="s">
        <v>960</v>
      </c>
      <c r="I1" s="491" t="s">
        <v>961</v>
      </c>
      <c r="J1" s="492"/>
      <c r="K1" s="496" t="s">
        <v>962</v>
      </c>
      <c r="L1" s="492"/>
      <c r="M1" s="491" t="s">
        <v>963</v>
      </c>
      <c r="N1" s="492"/>
      <c r="O1" s="492"/>
      <c r="P1" s="492"/>
      <c r="Q1" s="493" t="s">
        <v>964</v>
      </c>
      <c r="R1" s="492"/>
      <c r="S1" s="493" t="s">
        <v>965</v>
      </c>
      <c r="T1" s="492"/>
      <c r="U1" s="492"/>
      <c r="V1" s="179"/>
    </row>
    <row r="2" spans="1:22" ht="25.5">
      <c r="A2" s="491" t="s">
        <v>966</v>
      </c>
      <c r="B2" s="492"/>
      <c r="C2" s="495" t="s">
        <v>967</v>
      </c>
      <c r="D2" s="492"/>
      <c r="E2" s="492"/>
      <c r="F2" s="492"/>
      <c r="G2" s="492"/>
      <c r="H2" s="178" t="s">
        <v>968</v>
      </c>
      <c r="I2" s="491" t="s">
        <v>969</v>
      </c>
      <c r="J2" s="492"/>
      <c r="K2" s="492"/>
      <c r="L2" s="492"/>
      <c r="M2" s="492"/>
      <c r="N2" s="492"/>
      <c r="O2" s="492"/>
      <c r="P2" s="492"/>
      <c r="Q2" s="493" t="s">
        <v>970</v>
      </c>
      <c r="R2" s="492"/>
      <c r="S2" s="493" t="s">
        <v>971</v>
      </c>
      <c r="T2" s="492"/>
      <c r="U2" s="492"/>
      <c r="V2" s="179"/>
    </row>
    <row r="3" spans="1:22" ht="38.25">
      <c r="A3" s="494" t="s">
        <v>972</v>
      </c>
      <c r="B3" s="492"/>
      <c r="C3" s="495" t="s">
        <v>973</v>
      </c>
      <c r="D3" s="492"/>
      <c r="E3" s="181" t="s">
        <v>974</v>
      </c>
      <c r="F3" s="181" t="s">
        <v>975</v>
      </c>
      <c r="G3" s="181" t="s">
        <v>976</v>
      </c>
      <c r="H3" s="178" t="s">
        <v>977</v>
      </c>
      <c r="I3" s="177" t="s">
        <v>978</v>
      </c>
      <c r="J3" s="177" t="s">
        <v>979</v>
      </c>
      <c r="K3" s="178" t="s">
        <v>980</v>
      </c>
      <c r="L3" s="178" t="s">
        <v>981</v>
      </c>
      <c r="M3" s="182" t="s">
        <v>982</v>
      </c>
      <c r="N3" s="182" t="s">
        <v>983</v>
      </c>
      <c r="O3" s="182" t="s">
        <v>984</v>
      </c>
      <c r="P3" s="182" t="s">
        <v>985</v>
      </c>
      <c r="Q3" s="183" t="s">
        <v>986</v>
      </c>
      <c r="R3" s="183" t="s">
        <v>987</v>
      </c>
      <c r="S3" s="183" t="s">
        <v>988</v>
      </c>
      <c r="T3" s="183" t="s">
        <v>989</v>
      </c>
      <c r="U3" s="183" t="s">
        <v>990</v>
      </c>
      <c r="V3" s="179"/>
    </row>
    <row r="4" spans="1:22">
      <c r="A4" s="497" t="s">
        <v>991</v>
      </c>
      <c r="B4" s="492"/>
      <c r="C4" s="497" t="s">
        <v>992</v>
      </c>
      <c r="D4" s="497"/>
      <c r="E4" s="497"/>
      <c r="F4" s="497"/>
      <c r="G4" s="497"/>
      <c r="H4" s="184" t="s">
        <v>992</v>
      </c>
      <c r="I4" s="184" t="s">
        <v>992</v>
      </c>
      <c r="J4" s="184" t="s">
        <v>992</v>
      </c>
      <c r="K4" s="184" t="s">
        <v>992</v>
      </c>
      <c r="L4" s="184" t="s">
        <v>992</v>
      </c>
      <c r="M4" s="184" t="s">
        <v>992</v>
      </c>
      <c r="N4" s="184" t="s">
        <v>992</v>
      </c>
      <c r="O4" s="184" t="s">
        <v>992</v>
      </c>
      <c r="P4" s="184" t="s">
        <v>992</v>
      </c>
      <c r="Q4" s="184" t="s">
        <v>992</v>
      </c>
      <c r="R4" s="184" t="s">
        <v>992</v>
      </c>
      <c r="S4" s="184" t="s">
        <v>992</v>
      </c>
      <c r="T4" s="184" t="s">
        <v>992</v>
      </c>
      <c r="U4" s="184" t="s">
        <v>992</v>
      </c>
      <c r="V4" s="179"/>
    </row>
    <row r="5" spans="1:22">
      <c r="A5" s="498" t="s">
        <v>993</v>
      </c>
      <c r="B5" s="492"/>
      <c r="C5" s="498" t="s">
        <v>994</v>
      </c>
      <c r="D5" s="498"/>
      <c r="E5" s="498"/>
      <c r="F5" s="498"/>
      <c r="G5" s="498"/>
      <c r="H5" s="185" t="s">
        <v>994</v>
      </c>
      <c r="I5" s="185" t="s">
        <v>994</v>
      </c>
      <c r="J5" s="185" t="s">
        <v>994</v>
      </c>
      <c r="K5" s="185" t="s">
        <v>994</v>
      </c>
      <c r="L5" s="185" t="s">
        <v>994</v>
      </c>
      <c r="M5" s="185" t="s">
        <v>994</v>
      </c>
      <c r="N5" s="185" t="s">
        <v>994</v>
      </c>
      <c r="O5" s="185" t="s">
        <v>994</v>
      </c>
      <c r="P5" s="185" t="s">
        <v>994</v>
      </c>
      <c r="Q5" s="185" t="s">
        <v>994</v>
      </c>
      <c r="R5" s="185" t="s">
        <v>994</v>
      </c>
      <c r="S5" s="185" t="s">
        <v>994</v>
      </c>
      <c r="T5" s="185" t="s">
        <v>994</v>
      </c>
      <c r="U5" s="185" t="s">
        <v>994</v>
      </c>
      <c r="V5" s="179"/>
    </row>
    <row r="6" spans="1:22">
      <c r="A6" s="498" t="s">
        <v>995</v>
      </c>
      <c r="B6" s="492"/>
      <c r="C6" s="498" t="s">
        <v>996</v>
      </c>
      <c r="D6" s="498"/>
      <c r="E6" s="498"/>
      <c r="F6" s="498"/>
      <c r="G6" s="498"/>
      <c r="H6" s="185" t="s">
        <v>996</v>
      </c>
      <c r="I6" s="185" t="s">
        <v>996</v>
      </c>
      <c r="J6" s="185" t="s">
        <v>996</v>
      </c>
      <c r="K6" s="185" t="s">
        <v>996</v>
      </c>
      <c r="L6" s="185" t="s">
        <v>996</v>
      </c>
      <c r="M6" s="185" t="s">
        <v>996</v>
      </c>
      <c r="N6" s="185" t="s">
        <v>996</v>
      </c>
      <c r="O6" s="185" t="s">
        <v>996</v>
      </c>
      <c r="P6" s="185" t="s">
        <v>996</v>
      </c>
      <c r="Q6" s="185" t="s">
        <v>996</v>
      </c>
      <c r="R6" s="185" t="s">
        <v>996</v>
      </c>
      <c r="S6" s="185" t="s">
        <v>996</v>
      </c>
      <c r="T6" s="185" t="s">
        <v>996</v>
      </c>
      <c r="U6" s="185" t="s">
        <v>996</v>
      </c>
      <c r="V6" s="179"/>
    </row>
    <row r="7" spans="1:22" ht="25.5">
      <c r="A7" s="499">
        <v>0.54166666666666663</v>
      </c>
      <c r="B7" s="499">
        <v>0.58333333333333337</v>
      </c>
      <c r="C7" s="186"/>
      <c r="D7" s="186"/>
      <c r="E7" s="186"/>
      <c r="F7" s="186"/>
      <c r="G7" s="186"/>
      <c r="H7" s="186"/>
      <c r="I7" s="186"/>
      <c r="J7" s="186"/>
      <c r="K7" s="187" t="s">
        <v>997</v>
      </c>
      <c r="L7" s="188" t="s">
        <v>998</v>
      </c>
      <c r="M7" s="189"/>
      <c r="N7" s="186"/>
      <c r="O7" s="186"/>
      <c r="P7" s="186"/>
      <c r="Q7" s="186"/>
      <c r="R7" s="186"/>
      <c r="S7" s="186"/>
      <c r="T7" s="186"/>
      <c r="U7" s="186"/>
      <c r="V7" s="179"/>
    </row>
    <row r="8" spans="1:22" ht="25.5">
      <c r="A8" s="492"/>
      <c r="B8" s="492"/>
      <c r="C8" s="186"/>
      <c r="D8" s="186"/>
      <c r="E8" s="186"/>
      <c r="F8" s="186"/>
      <c r="G8" s="186"/>
      <c r="H8" s="186"/>
      <c r="I8" s="186"/>
      <c r="J8" s="186"/>
      <c r="K8" s="187" t="s">
        <v>999</v>
      </c>
      <c r="L8" s="188" t="s">
        <v>1000</v>
      </c>
      <c r="M8" s="189"/>
      <c r="N8" s="186"/>
      <c r="O8" s="186"/>
      <c r="P8" s="186"/>
      <c r="Q8" s="186"/>
      <c r="R8" s="186"/>
      <c r="S8" s="186"/>
      <c r="T8" s="186"/>
      <c r="U8" s="186"/>
      <c r="V8" s="179"/>
    </row>
    <row r="9" spans="1:22" ht="25.5">
      <c r="A9" s="492"/>
      <c r="B9" s="492"/>
      <c r="C9" s="186"/>
      <c r="D9" s="186"/>
      <c r="E9" s="186"/>
      <c r="F9" s="186"/>
      <c r="G9" s="186"/>
      <c r="H9" s="186"/>
      <c r="I9" s="186"/>
      <c r="J9" s="186"/>
      <c r="K9" s="187" t="s">
        <v>1001</v>
      </c>
      <c r="L9" s="188" t="s">
        <v>1002</v>
      </c>
      <c r="M9" s="189"/>
      <c r="N9" s="186"/>
      <c r="O9" s="186"/>
      <c r="P9" s="186"/>
      <c r="Q9" s="186"/>
      <c r="R9" s="186"/>
      <c r="S9" s="186"/>
      <c r="T9" s="186"/>
      <c r="U9" s="186"/>
      <c r="V9" s="179"/>
    </row>
    <row r="10" spans="1:22" ht="25.5">
      <c r="A10" s="492"/>
      <c r="B10" s="492"/>
      <c r="C10" s="186"/>
      <c r="D10" s="186"/>
      <c r="E10" s="186"/>
      <c r="F10" s="186"/>
      <c r="G10" s="186"/>
      <c r="H10" s="186"/>
      <c r="I10" s="186"/>
      <c r="J10" s="186"/>
      <c r="K10" s="187" t="s">
        <v>1003</v>
      </c>
      <c r="L10" s="188" t="s">
        <v>1004</v>
      </c>
      <c r="M10" s="189"/>
      <c r="N10" s="186"/>
      <c r="O10" s="186"/>
      <c r="P10" s="186"/>
      <c r="Q10" s="186"/>
      <c r="R10" s="186"/>
      <c r="S10" s="186"/>
      <c r="T10" s="186"/>
      <c r="U10" s="186"/>
      <c r="V10" s="179"/>
    </row>
    <row r="11" spans="1:22" ht="25.5">
      <c r="A11" s="492"/>
      <c r="B11" s="492"/>
      <c r="C11" s="186"/>
      <c r="D11" s="186"/>
      <c r="E11" s="186"/>
      <c r="F11" s="186"/>
      <c r="G11" s="186"/>
      <c r="H11" s="186"/>
      <c r="I11" s="186"/>
      <c r="J11" s="186"/>
      <c r="K11" s="187" t="s">
        <v>1005</v>
      </c>
      <c r="L11" s="188" t="s">
        <v>1006</v>
      </c>
      <c r="M11" s="189"/>
      <c r="N11" s="186"/>
      <c r="O11" s="186"/>
      <c r="P11" s="186"/>
      <c r="Q11" s="186"/>
      <c r="R11" s="186"/>
      <c r="S11" s="186"/>
      <c r="T11" s="186"/>
      <c r="U11" s="186"/>
      <c r="V11" s="179"/>
    </row>
    <row r="12" spans="1:22" ht="25.5">
      <c r="A12" s="492"/>
      <c r="B12" s="492"/>
      <c r="C12" s="186"/>
      <c r="D12" s="186"/>
      <c r="E12" s="186"/>
      <c r="F12" s="186"/>
      <c r="G12" s="186"/>
      <c r="H12" s="186"/>
      <c r="I12" s="186"/>
      <c r="J12" s="186"/>
      <c r="K12" s="187" t="s">
        <v>1007</v>
      </c>
      <c r="L12" s="188" t="s">
        <v>1008</v>
      </c>
      <c r="M12" s="189"/>
      <c r="N12" s="186"/>
      <c r="O12" s="186"/>
      <c r="P12" s="186"/>
      <c r="Q12" s="186"/>
      <c r="R12" s="186"/>
      <c r="S12" s="186"/>
      <c r="T12" s="186"/>
      <c r="U12" s="186"/>
      <c r="V12" s="179"/>
    </row>
    <row r="13" spans="1:22" ht="25.5">
      <c r="A13" s="499">
        <f>B7</f>
        <v>0.58333333333333337</v>
      </c>
      <c r="B13" s="500">
        <v>0.625</v>
      </c>
      <c r="C13" s="186"/>
      <c r="D13" s="186"/>
      <c r="E13" s="186"/>
      <c r="F13" s="186"/>
      <c r="G13" s="186"/>
      <c r="H13" s="188" t="s">
        <v>1009</v>
      </c>
      <c r="I13" s="190" t="s">
        <v>1010</v>
      </c>
      <c r="J13" s="190" t="s">
        <v>1011</v>
      </c>
      <c r="K13" s="186"/>
      <c r="L13" s="186"/>
      <c r="M13" s="191" t="s">
        <v>1012</v>
      </c>
      <c r="N13" s="191" t="s">
        <v>1013</v>
      </c>
      <c r="O13" s="191" t="s">
        <v>1014</v>
      </c>
      <c r="P13" s="191" t="s">
        <v>1015</v>
      </c>
      <c r="Q13" s="186"/>
      <c r="R13" s="186"/>
      <c r="S13" s="189"/>
      <c r="T13" s="189"/>
      <c r="U13" s="189"/>
      <c r="V13" s="179"/>
    </row>
    <row r="14" spans="1:22" ht="25.5">
      <c r="A14" s="492"/>
      <c r="B14" s="492"/>
      <c r="C14" s="186"/>
      <c r="D14" s="186"/>
      <c r="E14" s="186"/>
      <c r="F14" s="186"/>
      <c r="G14" s="186"/>
      <c r="H14" s="192"/>
      <c r="I14" s="193" t="s">
        <v>1016</v>
      </c>
      <c r="J14" s="193" t="s">
        <v>1017</v>
      </c>
      <c r="K14" s="194"/>
      <c r="L14" s="194"/>
      <c r="M14" s="195" t="s">
        <v>1018</v>
      </c>
      <c r="N14" s="195" t="s">
        <v>1019</v>
      </c>
      <c r="O14" s="195" t="s">
        <v>1020</v>
      </c>
      <c r="P14" s="196" t="s">
        <v>1021</v>
      </c>
      <c r="Q14" s="186"/>
      <c r="R14" s="186"/>
      <c r="S14" s="189"/>
      <c r="T14" s="189"/>
      <c r="U14" s="189"/>
      <c r="V14" s="179"/>
    </row>
    <row r="15" spans="1:22" ht="25.5" customHeight="1">
      <c r="A15" s="499">
        <f>B13</f>
        <v>0.625</v>
      </c>
      <c r="B15" s="500">
        <v>0.70833333333333337</v>
      </c>
      <c r="C15" s="186"/>
      <c r="D15" s="186"/>
      <c r="E15" s="186"/>
      <c r="F15" s="186"/>
      <c r="G15" s="186"/>
      <c r="H15" s="186"/>
      <c r="I15" s="197" t="s">
        <v>1022</v>
      </c>
      <c r="J15" s="197" t="s">
        <v>1023</v>
      </c>
      <c r="K15" s="194"/>
      <c r="L15" s="194"/>
      <c r="M15" s="191" t="s">
        <v>1024</v>
      </c>
      <c r="N15" s="191" t="s">
        <v>1025</v>
      </c>
      <c r="O15" s="191" t="s">
        <v>1026</v>
      </c>
      <c r="P15" s="198" t="s">
        <v>1027</v>
      </c>
      <c r="Q15" s="189"/>
      <c r="R15" s="194"/>
      <c r="S15" s="501" t="s">
        <v>1028</v>
      </c>
      <c r="T15" s="502" t="s">
        <v>1029</v>
      </c>
      <c r="U15" s="502" t="s">
        <v>1030</v>
      </c>
      <c r="V15" s="179"/>
    </row>
    <row r="16" spans="1:22" ht="25.5">
      <c r="A16" s="492"/>
      <c r="B16" s="492"/>
      <c r="C16" s="186"/>
      <c r="D16" s="186"/>
      <c r="E16" s="186"/>
      <c r="F16" s="186"/>
      <c r="G16" s="186"/>
      <c r="H16" s="186"/>
      <c r="I16" s="193" t="s">
        <v>1031</v>
      </c>
      <c r="J16" s="193" t="s">
        <v>1032</v>
      </c>
      <c r="K16" s="194"/>
      <c r="L16" s="194"/>
      <c r="M16" s="195" t="s">
        <v>1033</v>
      </c>
      <c r="N16" s="195" t="s">
        <v>1034</v>
      </c>
      <c r="O16" s="195" t="s">
        <v>1035</v>
      </c>
      <c r="P16" s="196" t="s">
        <v>1036</v>
      </c>
      <c r="Q16" s="189"/>
      <c r="R16" s="194"/>
      <c r="S16" s="492"/>
      <c r="T16" s="492"/>
      <c r="U16" s="492"/>
      <c r="V16" s="179"/>
    </row>
    <row r="17" spans="1:22" ht="25.5">
      <c r="A17" s="492"/>
      <c r="B17" s="492"/>
      <c r="C17" s="199"/>
      <c r="D17" s="199"/>
      <c r="E17" s="199"/>
      <c r="F17" s="199"/>
      <c r="G17" s="199"/>
      <c r="H17" s="186"/>
      <c r="I17" s="197" t="s">
        <v>1037</v>
      </c>
      <c r="J17" s="197" t="s">
        <v>1038</v>
      </c>
      <c r="K17" s="194"/>
      <c r="L17" s="194"/>
      <c r="M17" s="200" t="s">
        <v>1039</v>
      </c>
      <c r="N17" s="200" t="s">
        <v>1040</v>
      </c>
      <c r="O17" s="200" t="s">
        <v>1041</v>
      </c>
      <c r="P17" s="201"/>
      <c r="Q17" s="189"/>
      <c r="R17" s="194"/>
      <c r="S17" s="501" t="s">
        <v>1042</v>
      </c>
      <c r="T17" s="502" t="s">
        <v>1043</v>
      </c>
      <c r="U17" s="503" t="s">
        <v>1044</v>
      </c>
      <c r="V17" s="179"/>
    </row>
    <row r="18" spans="1:22" ht="25.5">
      <c r="A18" s="492"/>
      <c r="B18" s="492"/>
      <c r="C18" s="199"/>
      <c r="D18" s="199"/>
      <c r="E18" s="199"/>
      <c r="F18" s="199"/>
      <c r="G18" s="199"/>
      <c r="H18" s="186"/>
      <c r="I18" s="193" t="s">
        <v>1045</v>
      </c>
      <c r="J18" s="193" t="s">
        <v>1046</v>
      </c>
      <c r="K18" s="194"/>
      <c r="L18" s="194"/>
      <c r="M18" s="200" t="s">
        <v>1047</v>
      </c>
      <c r="N18" s="200" t="s">
        <v>1048</v>
      </c>
      <c r="O18" s="200" t="s">
        <v>1049</v>
      </c>
      <c r="P18" s="194"/>
      <c r="Q18" s="189"/>
      <c r="R18" s="194"/>
      <c r="S18" s="492"/>
      <c r="T18" s="492"/>
      <c r="U18" s="504"/>
      <c r="V18" s="179"/>
    </row>
    <row r="19" spans="1:22" ht="25.5">
      <c r="A19" s="500">
        <f>B15</f>
        <v>0.70833333333333337</v>
      </c>
      <c r="B19" s="499">
        <v>0.75</v>
      </c>
      <c r="C19" s="199"/>
      <c r="D19" s="199"/>
      <c r="E19" s="199"/>
      <c r="F19" s="199"/>
      <c r="G19" s="199"/>
      <c r="H19" s="186"/>
      <c r="I19" s="197" t="s">
        <v>1050</v>
      </c>
      <c r="J19" s="197" t="s">
        <v>1051</v>
      </c>
      <c r="K19" s="194"/>
      <c r="L19" s="194"/>
      <c r="M19" s="200" t="s">
        <v>1052</v>
      </c>
      <c r="N19" s="200" t="s">
        <v>1053</v>
      </c>
      <c r="O19" s="200" t="s">
        <v>1054</v>
      </c>
      <c r="P19" s="194"/>
      <c r="Q19" s="189"/>
      <c r="R19" s="194"/>
      <c r="S19" s="194"/>
      <c r="T19" s="194"/>
      <c r="U19" s="194"/>
      <c r="V19" s="179"/>
    </row>
    <row r="20" spans="1:22" ht="25.5">
      <c r="A20" s="492"/>
      <c r="B20" s="492"/>
      <c r="C20" s="199"/>
      <c r="D20" s="199"/>
      <c r="E20" s="199"/>
      <c r="F20" s="199"/>
      <c r="G20" s="199"/>
      <c r="H20" s="186"/>
      <c r="I20" s="202" t="s">
        <v>1055</v>
      </c>
      <c r="J20" s="202" t="s">
        <v>1056</v>
      </c>
      <c r="K20" s="194"/>
      <c r="L20" s="194"/>
      <c r="O20" s="194"/>
      <c r="P20" s="201"/>
      <c r="Q20" s="189"/>
      <c r="R20" s="194"/>
      <c r="S20" s="201"/>
      <c r="T20" s="194"/>
      <c r="U20" s="194"/>
      <c r="V20" s="179"/>
    </row>
    <row r="21" spans="1:22" ht="25.5">
      <c r="A21" s="492"/>
      <c r="B21" s="492"/>
      <c r="C21" s="199"/>
      <c r="D21" s="199"/>
      <c r="E21" s="199"/>
      <c r="F21" s="199"/>
      <c r="G21" s="199"/>
      <c r="H21" s="186"/>
      <c r="I21" s="203" t="s">
        <v>1057</v>
      </c>
      <c r="J21" s="203" t="s">
        <v>1058</v>
      </c>
      <c r="K21" s="194"/>
      <c r="L21" s="194"/>
      <c r="M21" s="194"/>
      <c r="N21" s="194"/>
      <c r="O21" s="194"/>
      <c r="P21" s="194"/>
      <c r="Q21" s="189"/>
      <c r="R21" s="194"/>
      <c r="S21" s="194"/>
      <c r="T21" s="194"/>
      <c r="U21" s="194"/>
      <c r="V21" s="179"/>
    </row>
    <row r="22" spans="1:22" ht="25.5">
      <c r="A22" s="492"/>
      <c r="B22" s="492"/>
      <c r="C22" s="199"/>
      <c r="D22" s="199"/>
      <c r="E22" s="199"/>
      <c r="F22" s="199"/>
      <c r="G22" s="199"/>
      <c r="H22" s="186"/>
      <c r="I22" s="204" t="s">
        <v>1059</v>
      </c>
      <c r="J22" s="202" t="s">
        <v>1060</v>
      </c>
      <c r="K22" s="194"/>
      <c r="L22" s="194"/>
      <c r="M22" s="194"/>
      <c r="N22" s="194"/>
      <c r="O22" s="194"/>
      <c r="P22" s="194"/>
      <c r="Q22" s="189"/>
      <c r="R22" s="194"/>
      <c r="S22" s="194"/>
      <c r="T22" s="194"/>
      <c r="U22" s="194"/>
      <c r="V22" s="179"/>
    </row>
    <row r="23" spans="1:22" ht="25.5">
      <c r="A23" s="492"/>
      <c r="B23" s="492"/>
      <c r="C23" s="199"/>
      <c r="D23" s="199"/>
      <c r="E23" s="199"/>
      <c r="F23" s="199"/>
      <c r="G23" s="199"/>
      <c r="H23" s="186"/>
      <c r="I23" s="202" t="s">
        <v>1061</v>
      </c>
      <c r="J23" s="203" t="s">
        <v>1062</v>
      </c>
      <c r="K23" s="194"/>
      <c r="L23" s="194"/>
      <c r="M23" s="194"/>
      <c r="N23" s="194"/>
      <c r="O23" s="194"/>
      <c r="P23" s="194"/>
      <c r="Q23" s="189"/>
      <c r="R23" s="194"/>
      <c r="S23" s="194"/>
      <c r="T23" s="194"/>
      <c r="U23" s="194"/>
      <c r="V23" s="179"/>
    </row>
    <row r="24" spans="1:22" ht="25.5">
      <c r="A24" s="492"/>
      <c r="B24" s="492"/>
      <c r="C24" s="199"/>
      <c r="D24" s="199"/>
      <c r="E24" s="199"/>
      <c r="F24" s="199"/>
      <c r="G24" s="199"/>
      <c r="H24" s="186"/>
      <c r="I24" s="203" t="s">
        <v>1063</v>
      </c>
      <c r="J24" s="204" t="s">
        <v>1064</v>
      </c>
      <c r="K24" s="194"/>
      <c r="L24" s="194"/>
      <c r="M24" s="194"/>
      <c r="N24" s="194"/>
      <c r="O24" s="194"/>
      <c r="P24" s="194"/>
      <c r="Q24" s="189"/>
      <c r="R24" s="189"/>
      <c r="S24" s="189"/>
      <c r="T24" s="189"/>
      <c r="U24" s="189"/>
      <c r="V24" s="179"/>
    </row>
    <row r="25" spans="1:22" ht="25.5">
      <c r="A25" s="492"/>
      <c r="B25" s="492"/>
      <c r="C25" s="199"/>
      <c r="D25" s="199"/>
      <c r="E25" s="199"/>
      <c r="F25" s="199"/>
      <c r="G25" s="199"/>
      <c r="H25" s="186"/>
      <c r="I25" s="202" t="s">
        <v>1065</v>
      </c>
      <c r="J25" s="202" t="s">
        <v>1066</v>
      </c>
      <c r="K25" s="194"/>
      <c r="L25" s="194"/>
      <c r="M25" s="194"/>
      <c r="N25" s="194"/>
      <c r="O25" s="194"/>
      <c r="P25" s="194"/>
      <c r="Q25" s="189"/>
      <c r="R25" s="189"/>
      <c r="S25" s="189"/>
      <c r="T25" s="189"/>
      <c r="U25" s="189"/>
      <c r="V25" s="179"/>
    </row>
    <row r="26" spans="1:22" ht="25.5">
      <c r="A26" s="492"/>
      <c r="B26" s="492"/>
      <c r="C26" s="199"/>
      <c r="D26" s="199"/>
      <c r="E26" s="199"/>
      <c r="F26" s="199"/>
      <c r="G26" s="199"/>
      <c r="H26" s="186"/>
      <c r="I26" s="203" t="s">
        <v>1067</v>
      </c>
      <c r="J26" s="203" t="s">
        <v>1068</v>
      </c>
      <c r="K26" s="194"/>
      <c r="L26" s="194"/>
      <c r="M26" s="194"/>
      <c r="N26" s="194"/>
      <c r="O26" s="194"/>
      <c r="P26" s="194"/>
      <c r="Q26" s="189"/>
      <c r="R26" s="189"/>
      <c r="S26" s="189"/>
      <c r="T26" s="189"/>
      <c r="U26" s="189"/>
      <c r="V26" s="179"/>
    </row>
    <row r="27" spans="1:22" ht="25.5">
      <c r="A27" s="492"/>
      <c r="B27" s="492"/>
      <c r="C27" s="199"/>
      <c r="D27" s="199"/>
      <c r="E27" s="199"/>
      <c r="F27" s="199"/>
      <c r="G27" s="199"/>
      <c r="H27" s="186"/>
      <c r="I27" s="204" t="s">
        <v>1069</v>
      </c>
      <c r="J27" s="194"/>
      <c r="K27" s="194"/>
      <c r="L27" s="194"/>
      <c r="M27" s="194"/>
      <c r="N27" s="194"/>
      <c r="O27" s="194"/>
      <c r="P27" s="194"/>
      <c r="Q27" s="189"/>
      <c r="R27" s="189"/>
      <c r="S27" s="189"/>
      <c r="T27" s="189"/>
      <c r="U27" s="189"/>
      <c r="V27" s="179"/>
    </row>
    <row r="28" spans="1:22">
      <c r="A28" s="498" t="s">
        <v>1070</v>
      </c>
      <c r="B28" s="492"/>
      <c r="C28" s="498" t="s">
        <v>1071</v>
      </c>
      <c r="D28" s="498"/>
      <c r="E28" s="498"/>
      <c r="F28" s="498"/>
      <c r="G28" s="498"/>
      <c r="H28" s="505" t="s">
        <v>1071</v>
      </c>
      <c r="I28" s="506"/>
      <c r="J28" s="506"/>
      <c r="K28" s="506"/>
      <c r="L28" s="506"/>
      <c r="M28" s="506" t="s">
        <v>1071</v>
      </c>
      <c r="N28" s="506"/>
      <c r="O28" s="506"/>
      <c r="P28" s="507"/>
      <c r="Q28" s="505" t="s">
        <v>1071</v>
      </c>
      <c r="R28" s="506"/>
      <c r="S28" s="506"/>
      <c r="T28" s="506"/>
      <c r="U28" s="507"/>
      <c r="V28" s="179"/>
    </row>
    <row r="29" spans="1:22">
      <c r="A29" s="497" t="s">
        <v>991</v>
      </c>
      <c r="B29" s="492"/>
      <c r="C29" s="497" t="s">
        <v>1072</v>
      </c>
      <c r="D29" s="497"/>
      <c r="E29" s="497"/>
      <c r="F29" s="497"/>
      <c r="G29" s="497"/>
      <c r="H29" s="184" t="s">
        <v>1072</v>
      </c>
      <c r="I29" s="184" t="s">
        <v>1072</v>
      </c>
      <c r="J29" s="184" t="s">
        <v>1072</v>
      </c>
      <c r="K29" s="184" t="s">
        <v>1072</v>
      </c>
      <c r="L29" s="184" t="s">
        <v>1072</v>
      </c>
      <c r="M29" s="184" t="s">
        <v>1072</v>
      </c>
      <c r="N29" s="184" t="s">
        <v>1072</v>
      </c>
      <c r="O29" s="184" t="s">
        <v>1072</v>
      </c>
      <c r="P29" s="184" t="s">
        <v>1072</v>
      </c>
      <c r="Q29" s="184" t="s">
        <v>1072</v>
      </c>
      <c r="R29" s="184" t="s">
        <v>1072</v>
      </c>
      <c r="S29" s="184" t="s">
        <v>1072</v>
      </c>
      <c r="T29" s="184" t="s">
        <v>1072</v>
      </c>
      <c r="U29" s="184" t="s">
        <v>1072</v>
      </c>
      <c r="V29" s="179"/>
    </row>
    <row r="30" spans="1:22">
      <c r="A30" s="498" t="s">
        <v>993</v>
      </c>
      <c r="B30" s="492"/>
      <c r="C30" s="498" t="s">
        <v>1073</v>
      </c>
      <c r="D30" s="498"/>
      <c r="E30" s="498"/>
      <c r="F30" s="498"/>
      <c r="G30" s="498"/>
      <c r="H30" s="185" t="s">
        <v>1073</v>
      </c>
      <c r="I30" s="185" t="s">
        <v>1073</v>
      </c>
      <c r="J30" s="185" t="s">
        <v>1073</v>
      </c>
      <c r="K30" s="185" t="s">
        <v>1073</v>
      </c>
      <c r="L30" s="185" t="s">
        <v>1073</v>
      </c>
      <c r="M30" s="185" t="s">
        <v>1073</v>
      </c>
      <c r="N30" s="185" t="s">
        <v>1073</v>
      </c>
      <c r="O30" s="185" t="s">
        <v>1073</v>
      </c>
      <c r="P30" s="185" t="s">
        <v>1073</v>
      </c>
      <c r="Q30" s="185" t="s">
        <v>1073</v>
      </c>
      <c r="R30" s="185" t="s">
        <v>1073</v>
      </c>
      <c r="S30" s="185" t="s">
        <v>1073</v>
      </c>
      <c r="T30" s="185" t="s">
        <v>1073</v>
      </c>
      <c r="U30" s="185" t="s">
        <v>1073</v>
      </c>
      <c r="V30" s="179"/>
    </row>
    <row r="31" spans="1:22">
      <c r="A31" s="498" t="s">
        <v>995</v>
      </c>
      <c r="B31" s="492"/>
      <c r="C31" s="498" t="s">
        <v>996</v>
      </c>
      <c r="D31" s="498"/>
      <c r="E31" s="498"/>
      <c r="F31" s="498"/>
      <c r="G31" s="498"/>
      <c r="H31" s="185" t="s">
        <v>996</v>
      </c>
      <c r="I31" s="185" t="s">
        <v>996</v>
      </c>
      <c r="J31" s="185" t="s">
        <v>996</v>
      </c>
      <c r="K31" s="185" t="s">
        <v>996</v>
      </c>
      <c r="L31" s="185" t="s">
        <v>996</v>
      </c>
      <c r="M31" s="185" t="s">
        <v>996</v>
      </c>
      <c r="N31" s="185" t="s">
        <v>996</v>
      </c>
      <c r="O31" s="185" t="s">
        <v>996</v>
      </c>
      <c r="P31" s="185" t="s">
        <v>996</v>
      </c>
      <c r="Q31" s="185" t="s">
        <v>996</v>
      </c>
      <c r="R31" s="185" t="s">
        <v>996</v>
      </c>
      <c r="S31" s="185" t="s">
        <v>996</v>
      </c>
      <c r="T31" s="185" t="s">
        <v>996</v>
      </c>
      <c r="U31" s="185" t="s">
        <v>996</v>
      </c>
      <c r="V31" s="179"/>
    </row>
    <row r="32" spans="1:22" ht="25.5">
      <c r="A32" s="205">
        <v>0.5625</v>
      </c>
      <c r="B32" s="205">
        <f t="shared" ref="B32:B40" si="0">A32+ TIME(0, 30, 0)</f>
        <v>0.58333333333333337</v>
      </c>
      <c r="C32" s="206"/>
      <c r="D32" s="206"/>
      <c r="E32" s="206"/>
      <c r="F32" s="207" t="s">
        <v>1074</v>
      </c>
      <c r="G32" s="206"/>
      <c r="H32" s="189"/>
      <c r="I32" s="189"/>
      <c r="J32" s="189"/>
      <c r="K32" s="189"/>
      <c r="L32" s="189"/>
      <c r="M32" s="189"/>
      <c r="N32" s="189"/>
      <c r="O32" s="189"/>
      <c r="P32" s="189"/>
      <c r="Q32" s="199"/>
      <c r="R32" s="199"/>
      <c r="S32" s="206"/>
      <c r="T32" s="206"/>
      <c r="U32" s="206"/>
      <c r="V32" s="179"/>
    </row>
    <row r="33" spans="1:22">
      <c r="A33" s="205">
        <f t="shared" ref="A33:A40" si="1">B32</f>
        <v>0.58333333333333337</v>
      </c>
      <c r="B33" s="208">
        <f t="shared" si="0"/>
        <v>0.60416666666666674</v>
      </c>
      <c r="C33" s="495" t="s">
        <v>1075</v>
      </c>
      <c r="D33" s="495" t="s">
        <v>1076</v>
      </c>
      <c r="E33" s="495" t="s">
        <v>1077</v>
      </c>
      <c r="F33" s="495" t="s">
        <v>1078</v>
      </c>
      <c r="G33" s="495" t="s">
        <v>1079</v>
      </c>
      <c r="H33" s="189"/>
      <c r="I33" s="189"/>
      <c r="J33" s="189"/>
      <c r="K33" s="189"/>
      <c r="L33" s="189"/>
      <c r="M33" s="189"/>
      <c r="N33" s="189"/>
      <c r="O33" s="189"/>
      <c r="P33" s="189"/>
      <c r="Q33" s="199"/>
      <c r="R33" s="199"/>
      <c r="S33" s="206"/>
      <c r="T33" s="206"/>
      <c r="U33" s="206"/>
      <c r="V33" s="179"/>
    </row>
    <row r="34" spans="1:22">
      <c r="A34" s="208">
        <f t="shared" si="1"/>
        <v>0.60416666666666674</v>
      </c>
      <c r="B34" s="208">
        <f t="shared" si="0"/>
        <v>0.62500000000000011</v>
      </c>
      <c r="C34" s="492"/>
      <c r="D34" s="492"/>
      <c r="E34" s="492"/>
      <c r="F34" s="492"/>
      <c r="G34" s="492"/>
      <c r="H34" s="194"/>
      <c r="I34" s="189"/>
      <c r="J34" s="189"/>
      <c r="K34" s="189"/>
      <c r="L34" s="189"/>
      <c r="M34" s="189"/>
      <c r="N34" s="189"/>
      <c r="O34" s="189"/>
      <c r="P34" s="189"/>
      <c r="Q34" s="199"/>
      <c r="R34" s="199"/>
      <c r="S34" s="206"/>
      <c r="T34" s="206"/>
      <c r="U34" s="206"/>
      <c r="V34" s="179"/>
    </row>
    <row r="35" spans="1:22">
      <c r="A35" s="205">
        <f t="shared" si="1"/>
        <v>0.62500000000000011</v>
      </c>
      <c r="B35" s="208">
        <f t="shared" si="0"/>
        <v>0.64583333333333348</v>
      </c>
      <c r="C35" s="492"/>
      <c r="D35" s="492"/>
      <c r="E35" s="492"/>
      <c r="F35" s="492"/>
      <c r="G35" s="492"/>
      <c r="H35" s="189"/>
      <c r="I35" s="189"/>
      <c r="J35" s="189"/>
      <c r="K35" s="189"/>
      <c r="L35" s="189"/>
      <c r="M35" s="189"/>
      <c r="N35" s="189"/>
      <c r="O35" s="189"/>
      <c r="P35" s="189"/>
      <c r="Q35" s="199"/>
      <c r="R35" s="199"/>
      <c r="S35" s="501" t="s">
        <v>1080</v>
      </c>
      <c r="T35" s="206"/>
      <c r="U35" s="501" t="s">
        <v>1081</v>
      </c>
      <c r="V35" s="179"/>
    </row>
    <row r="36" spans="1:22">
      <c r="A36" s="208">
        <f t="shared" si="1"/>
        <v>0.64583333333333348</v>
      </c>
      <c r="B36" s="208">
        <f t="shared" si="0"/>
        <v>0.66666666666666685</v>
      </c>
      <c r="C36" s="492"/>
      <c r="D36" s="492"/>
      <c r="E36" s="492"/>
      <c r="F36" s="492"/>
      <c r="G36" s="495" t="s">
        <v>1082</v>
      </c>
      <c r="H36" s="189"/>
      <c r="I36" s="189"/>
      <c r="J36" s="189"/>
      <c r="K36" s="189"/>
      <c r="L36" s="189"/>
      <c r="M36" s="189"/>
      <c r="N36" s="189"/>
      <c r="O36" s="189"/>
      <c r="P36" s="189"/>
      <c r="Q36" s="199"/>
      <c r="R36" s="199"/>
      <c r="S36" s="492"/>
      <c r="T36" s="206"/>
      <c r="U36" s="492"/>
      <c r="V36" s="179"/>
    </row>
    <row r="37" spans="1:22">
      <c r="A37" s="208">
        <f t="shared" si="1"/>
        <v>0.66666666666666685</v>
      </c>
      <c r="B37" s="208">
        <f t="shared" si="0"/>
        <v>0.68750000000000022</v>
      </c>
      <c r="C37" s="492"/>
      <c r="D37" s="492"/>
      <c r="E37" s="492"/>
      <c r="F37" s="492"/>
      <c r="G37" s="492"/>
      <c r="H37" s="189"/>
      <c r="I37" s="189"/>
      <c r="J37" s="189"/>
      <c r="K37" s="189"/>
      <c r="L37" s="189"/>
      <c r="M37" s="189"/>
      <c r="N37" s="189"/>
      <c r="O37" s="189"/>
      <c r="P37" s="189"/>
      <c r="Q37" s="199"/>
      <c r="R37" s="199"/>
      <c r="S37" s="502" t="s">
        <v>1083</v>
      </c>
      <c r="T37" s="206"/>
      <c r="U37" s="502" t="s">
        <v>1084</v>
      </c>
      <c r="V37" s="179"/>
    </row>
    <row r="38" spans="1:22">
      <c r="A38" s="208">
        <f t="shared" si="1"/>
        <v>0.68750000000000022</v>
      </c>
      <c r="B38" s="205">
        <f t="shared" si="0"/>
        <v>0.70833333333333359</v>
      </c>
      <c r="C38" s="492"/>
      <c r="D38" s="492"/>
      <c r="E38" s="492"/>
      <c r="F38" s="492"/>
      <c r="G38" s="492"/>
      <c r="H38" s="189"/>
      <c r="I38" s="189"/>
      <c r="J38" s="189"/>
      <c r="K38" s="189"/>
      <c r="L38" s="189"/>
      <c r="M38" s="189"/>
      <c r="N38" s="189"/>
      <c r="O38" s="189"/>
      <c r="P38" s="189"/>
      <c r="Q38" s="199"/>
      <c r="R38" s="199"/>
      <c r="S38" s="492"/>
      <c r="T38" s="206"/>
      <c r="U38" s="492"/>
      <c r="V38" s="179"/>
    </row>
    <row r="39" spans="1:22">
      <c r="A39" s="208">
        <f t="shared" si="1"/>
        <v>0.70833333333333359</v>
      </c>
      <c r="B39" s="208">
        <f t="shared" si="0"/>
        <v>0.72916666666666696</v>
      </c>
      <c r="C39" s="206"/>
      <c r="D39" s="206"/>
      <c r="E39" s="206"/>
      <c r="F39" s="206"/>
      <c r="G39" s="206"/>
      <c r="H39" s="194"/>
      <c r="I39" s="189"/>
      <c r="J39" s="189"/>
      <c r="K39" s="189"/>
      <c r="L39" s="189"/>
      <c r="M39" s="189"/>
      <c r="N39" s="189"/>
      <c r="O39" s="189"/>
      <c r="P39" s="189"/>
      <c r="Q39" s="199"/>
      <c r="R39" s="199"/>
      <c r="S39" s="501" t="s">
        <v>1085</v>
      </c>
      <c r="T39" s="206"/>
      <c r="U39" s="501" t="s">
        <v>1086</v>
      </c>
      <c r="V39" s="179"/>
    </row>
    <row r="40" spans="1:22">
      <c r="A40" s="208">
        <f t="shared" si="1"/>
        <v>0.72916666666666696</v>
      </c>
      <c r="B40" s="208">
        <f t="shared" si="0"/>
        <v>0.75000000000000033</v>
      </c>
      <c r="C40" s="206"/>
      <c r="D40" s="206"/>
      <c r="E40" s="206"/>
      <c r="F40" s="206"/>
      <c r="G40" s="206"/>
      <c r="H40" s="194"/>
      <c r="I40" s="189"/>
      <c r="J40" s="189"/>
      <c r="K40" s="189"/>
      <c r="L40" s="189"/>
      <c r="M40" s="189"/>
      <c r="N40" s="189"/>
      <c r="O40" s="189"/>
      <c r="P40" s="189"/>
      <c r="Q40" s="194"/>
      <c r="R40" s="199"/>
      <c r="S40" s="492"/>
      <c r="T40" s="206"/>
      <c r="U40" s="492"/>
      <c r="V40" s="179"/>
    </row>
    <row r="41" spans="1:22">
      <c r="A41" s="498" t="s">
        <v>1087</v>
      </c>
      <c r="B41" s="492"/>
      <c r="C41" s="498" t="s">
        <v>1088</v>
      </c>
      <c r="D41" s="498"/>
      <c r="E41" s="498"/>
      <c r="F41" s="498"/>
      <c r="G41" s="498"/>
      <c r="H41" s="185" t="s">
        <v>1088</v>
      </c>
      <c r="I41" s="185" t="s">
        <v>1088</v>
      </c>
      <c r="J41" s="185" t="s">
        <v>1088</v>
      </c>
      <c r="K41" s="185" t="s">
        <v>1088</v>
      </c>
      <c r="L41" s="185" t="s">
        <v>1088</v>
      </c>
      <c r="M41" s="185" t="s">
        <v>1088</v>
      </c>
      <c r="N41" s="185" t="s">
        <v>1088</v>
      </c>
      <c r="O41" s="185" t="s">
        <v>1088</v>
      </c>
      <c r="P41" s="185" t="s">
        <v>1088</v>
      </c>
      <c r="Q41" s="185" t="s">
        <v>1088</v>
      </c>
      <c r="R41" s="185" t="s">
        <v>1088</v>
      </c>
      <c r="S41" s="185" t="s">
        <v>1088</v>
      </c>
      <c r="T41" s="185" t="s">
        <v>1088</v>
      </c>
      <c r="U41" s="185" t="s">
        <v>1088</v>
      </c>
      <c r="V41" s="179"/>
    </row>
    <row r="42" spans="1:22" ht="25.5">
      <c r="A42" s="205">
        <f>B40</f>
        <v>0.75000000000000033</v>
      </c>
      <c r="B42" s="208">
        <f t="shared" ref="B42:B47" si="2">A42+ TIME(0, 30, 0)</f>
        <v>0.7708333333333337</v>
      </c>
      <c r="C42" s="509" t="s">
        <v>1089</v>
      </c>
      <c r="D42" s="492"/>
      <c r="E42" s="492"/>
      <c r="F42" s="492"/>
      <c r="G42" s="492"/>
      <c r="H42" s="194"/>
      <c r="I42" s="189"/>
      <c r="J42" s="189"/>
      <c r="K42" s="189"/>
      <c r="L42" s="189"/>
      <c r="M42" s="189"/>
      <c r="N42" s="189"/>
      <c r="O42" s="189"/>
      <c r="P42" s="189"/>
      <c r="Q42" s="209" t="s">
        <v>1090</v>
      </c>
      <c r="R42" s="209" t="s">
        <v>1091</v>
      </c>
      <c r="S42" s="206"/>
      <c r="T42" s="206"/>
      <c r="U42" s="206"/>
      <c r="V42" s="179"/>
    </row>
    <row r="43" spans="1:22" ht="25.5">
      <c r="A43" s="205">
        <f t="shared" ref="A43:A47" si="3">B42</f>
        <v>0.7708333333333337</v>
      </c>
      <c r="B43" s="205">
        <f t="shared" si="2"/>
        <v>0.79166666666666707</v>
      </c>
      <c r="C43" s="492"/>
      <c r="D43" s="510"/>
      <c r="E43" s="510"/>
      <c r="F43" s="510"/>
      <c r="G43" s="492"/>
      <c r="H43" s="189"/>
      <c r="I43" s="189"/>
      <c r="J43" s="189"/>
      <c r="K43" s="189"/>
      <c r="L43" s="189"/>
      <c r="M43" s="189"/>
      <c r="N43" s="189"/>
      <c r="O43" s="189"/>
      <c r="P43" s="189"/>
      <c r="Q43" s="209" t="s">
        <v>1092</v>
      </c>
      <c r="R43" s="209" t="s">
        <v>1093</v>
      </c>
      <c r="S43" s="206"/>
      <c r="T43" s="206"/>
      <c r="U43" s="206"/>
      <c r="V43" s="179"/>
    </row>
    <row r="44" spans="1:22" ht="25.5">
      <c r="A44" s="205">
        <f t="shared" si="3"/>
        <v>0.79166666666666707</v>
      </c>
      <c r="B44" s="208">
        <f t="shared" si="2"/>
        <v>0.81250000000000044</v>
      </c>
      <c r="C44" s="492"/>
      <c r="D44" s="492"/>
      <c r="E44" s="492"/>
      <c r="F44" s="492"/>
      <c r="G44" s="492"/>
      <c r="H44" s="189"/>
      <c r="I44" s="189"/>
      <c r="J44" s="189"/>
      <c r="K44" s="189"/>
      <c r="L44" s="189"/>
      <c r="M44" s="189"/>
      <c r="N44" s="189"/>
      <c r="O44" s="189"/>
      <c r="P44" s="189"/>
      <c r="Q44" s="210" t="s">
        <v>1094</v>
      </c>
      <c r="R44" s="210" t="s">
        <v>1095</v>
      </c>
      <c r="S44" s="206"/>
      <c r="T44" s="206"/>
      <c r="U44" s="206"/>
      <c r="V44" s="179"/>
    </row>
    <row r="45" spans="1:22" ht="25.5">
      <c r="A45" s="205">
        <f t="shared" si="3"/>
        <v>0.81250000000000044</v>
      </c>
      <c r="B45" s="208">
        <f t="shared" si="2"/>
        <v>0.83333333333333381</v>
      </c>
      <c r="C45" s="206"/>
      <c r="D45" s="206"/>
      <c r="E45" s="206"/>
      <c r="F45" s="206"/>
      <c r="G45" s="206"/>
      <c r="H45" s="194"/>
      <c r="I45" s="189"/>
      <c r="J45" s="189"/>
      <c r="K45" s="189"/>
      <c r="L45" s="189"/>
      <c r="M45" s="189"/>
      <c r="N45" s="189"/>
      <c r="O45" s="189"/>
      <c r="P45" s="189"/>
      <c r="Q45" s="210" t="s">
        <v>1096</v>
      </c>
      <c r="R45" s="210" t="s">
        <v>1097</v>
      </c>
      <c r="S45" s="206"/>
      <c r="T45" s="206"/>
      <c r="U45" s="206"/>
      <c r="V45" s="179"/>
    </row>
    <row r="46" spans="1:22" ht="25.5">
      <c r="A46" s="208">
        <f t="shared" si="3"/>
        <v>0.83333333333333381</v>
      </c>
      <c r="B46" s="205">
        <f t="shared" si="2"/>
        <v>0.85416666666666718</v>
      </c>
      <c r="C46" s="206"/>
      <c r="D46" s="206"/>
      <c r="E46" s="206"/>
      <c r="F46" s="206"/>
      <c r="G46" s="206"/>
      <c r="H46" s="194"/>
      <c r="I46" s="189"/>
      <c r="J46" s="189"/>
      <c r="K46" s="189"/>
      <c r="L46" s="189"/>
      <c r="M46" s="189"/>
      <c r="N46" s="189"/>
      <c r="O46" s="189"/>
      <c r="P46" s="189"/>
      <c r="Q46" s="211" t="s">
        <v>1098</v>
      </c>
      <c r="R46" s="211" t="s">
        <v>1099</v>
      </c>
      <c r="S46" s="206"/>
      <c r="T46" s="206"/>
      <c r="U46" s="206"/>
      <c r="V46" s="179"/>
    </row>
    <row r="47" spans="1:22" ht="25.5">
      <c r="A47" s="208">
        <f t="shared" si="3"/>
        <v>0.85416666666666718</v>
      </c>
      <c r="B47" s="205">
        <f t="shared" si="2"/>
        <v>0.87500000000000056</v>
      </c>
      <c r="C47" s="206"/>
      <c r="D47" s="206"/>
      <c r="E47" s="206"/>
      <c r="F47" s="206"/>
      <c r="G47" s="206"/>
      <c r="H47" s="189"/>
      <c r="I47" s="206"/>
      <c r="J47" s="206"/>
      <c r="K47" s="206"/>
      <c r="L47" s="206"/>
      <c r="M47" s="189"/>
      <c r="N47" s="189"/>
      <c r="O47" s="189"/>
      <c r="P47" s="189"/>
      <c r="Q47" s="211" t="s">
        <v>1100</v>
      </c>
      <c r="R47" s="211" t="s">
        <v>1101</v>
      </c>
      <c r="S47" s="206"/>
      <c r="T47" s="206"/>
      <c r="U47" s="206"/>
      <c r="V47" s="179"/>
    </row>
    <row r="48" spans="1:22">
      <c r="A48" s="497" t="s">
        <v>991</v>
      </c>
      <c r="B48" s="492"/>
      <c r="C48" s="497" t="s">
        <v>1102</v>
      </c>
      <c r="D48" s="497"/>
      <c r="E48" s="497"/>
      <c r="F48" s="497"/>
      <c r="G48" s="497"/>
      <c r="H48" s="184" t="s">
        <v>1102</v>
      </c>
      <c r="I48" s="184" t="s">
        <v>1102</v>
      </c>
      <c r="J48" s="184" t="s">
        <v>1102</v>
      </c>
      <c r="K48" s="184" t="s">
        <v>1102</v>
      </c>
      <c r="L48" s="184" t="s">
        <v>1102</v>
      </c>
      <c r="M48" s="184" t="s">
        <v>1102</v>
      </c>
      <c r="N48" s="184" t="s">
        <v>1102</v>
      </c>
      <c r="O48" s="184" t="s">
        <v>1102</v>
      </c>
      <c r="P48" s="184" t="s">
        <v>1102</v>
      </c>
      <c r="Q48" s="184" t="s">
        <v>1102</v>
      </c>
      <c r="R48" s="184" t="s">
        <v>1102</v>
      </c>
      <c r="S48" s="184" t="s">
        <v>1102</v>
      </c>
      <c r="T48" s="184" t="s">
        <v>1102</v>
      </c>
      <c r="U48" s="184" t="s">
        <v>1102</v>
      </c>
      <c r="V48" s="179"/>
    </row>
    <row r="49" spans="1:22">
      <c r="A49" s="205">
        <v>0.29166666666666669</v>
      </c>
      <c r="B49" s="208">
        <v>0.3125</v>
      </c>
      <c r="C49" s="206"/>
      <c r="D49" s="206"/>
      <c r="E49" s="206"/>
      <c r="F49" s="206"/>
      <c r="G49" s="206"/>
      <c r="H49" s="206"/>
      <c r="I49" s="508" t="s">
        <v>1103</v>
      </c>
      <c r="J49" s="492"/>
      <c r="K49" s="206"/>
      <c r="L49" s="206"/>
      <c r="M49" s="508" t="s">
        <v>1103</v>
      </c>
      <c r="N49" s="492"/>
      <c r="O49" s="492"/>
      <c r="P49" s="492"/>
      <c r="Q49" s="511" t="s">
        <v>1103</v>
      </c>
      <c r="R49" s="492"/>
      <c r="S49" s="502" t="s">
        <v>1104</v>
      </c>
      <c r="T49" s="206"/>
      <c r="U49" s="501" t="s">
        <v>1105</v>
      </c>
      <c r="V49" s="179"/>
    </row>
    <row r="50" spans="1:22" ht="25.5">
      <c r="A50" s="208">
        <v>0.3125</v>
      </c>
      <c r="B50" s="208">
        <f t="shared" ref="B50:B56" si="4">A50+ TIME(0, 30, 0)</f>
        <v>0.33333333333333331</v>
      </c>
      <c r="C50" s="206"/>
      <c r="D50" s="206"/>
      <c r="E50" s="206"/>
      <c r="F50" s="206"/>
      <c r="G50" s="206"/>
      <c r="H50" s="189"/>
      <c r="I50" s="212" t="s">
        <v>1106</v>
      </c>
      <c r="J50" s="212" t="s">
        <v>1107</v>
      </c>
      <c r="K50" s="206"/>
      <c r="L50" s="206"/>
      <c r="M50" s="213" t="s">
        <v>1108</v>
      </c>
      <c r="N50" s="213" t="s">
        <v>1109</v>
      </c>
      <c r="O50" s="187" t="s">
        <v>1110</v>
      </c>
      <c r="P50" s="187" t="s">
        <v>1111</v>
      </c>
      <c r="Q50" s="214" t="s">
        <v>1112</v>
      </c>
      <c r="R50" s="214" t="s">
        <v>1113</v>
      </c>
      <c r="S50" s="492"/>
      <c r="T50" s="206"/>
      <c r="U50" s="492"/>
      <c r="V50" s="179"/>
    </row>
    <row r="51" spans="1:22" ht="25.5">
      <c r="A51" s="205">
        <f t="shared" ref="A51:A57" si="5">B50</f>
        <v>0.33333333333333331</v>
      </c>
      <c r="B51" s="205">
        <f t="shared" si="4"/>
        <v>0.35416666666666663</v>
      </c>
      <c r="C51" s="206"/>
      <c r="D51" s="206"/>
      <c r="E51" s="206"/>
      <c r="F51" s="206"/>
      <c r="G51" s="206"/>
      <c r="H51" s="194"/>
      <c r="I51" s="215" t="s">
        <v>1114</v>
      </c>
      <c r="J51" s="206"/>
      <c r="K51" s="206"/>
      <c r="L51" s="206"/>
      <c r="M51" s="187" t="s">
        <v>1115</v>
      </c>
      <c r="N51" s="187" t="s">
        <v>1116</v>
      </c>
      <c r="O51" s="213" t="s">
        <v>1117</v>
      </c>
      <c r="P51" s="213" t="s">
        <v>1118</v>
      </c>
      <c r="Q51" s="216" t="s">
        <v>1119</v>
      </c>
      <c r="R51" s="216" t="s">
        <v>1120</v>
      </c>
      <c r="S51" s="502" t="s">
        <v>1121</v>
      </c>
      <c r="T51" s="206"/>
      <c r="U51" s="501" t="s">
        <v>1122</v>
      </c>
      <c r="V51" s="179"/>
    </row>
    <row r="52" spans="1:22">
      <c r="A52" s="208">
        <f t="shared" si="5"/>
        <v>0.35416666666666663</v>
      </c>
      <c r="B52" s="205">
        <f t="shared" si="4"/>
        <v>0.37499999999999994</v>
      </c>
      <c r="C52" s="206"/>
      <c r="D52" s="206"/>
      <c r="E52" s="206"/>
      <c r="F52" s="206"/>
      <c r="G52" s="206"/>
      <c r="H52" s="189"/>
      <c r="I52" s="212" t="s">
        <v>1123</v>
      </c>
      <c r="J52" s="212" t="s">
        <v>1124</v>
      </c>
      <c r="K52" s="206"/>
      <c r="L52" s="206"/>
      <c r="M52" s="213" t="s">
        <v>1125</v>
      </c>
      <c r="N52" s="213" t="s">
        <v>1126</v>
      </c>
      <c r="O52" s="187" t="s">
        <v>1127</v>
      </c>
      <c r="P52" s="187" t="s">
        <v>1128</v>
      </c>
      <c r="Q52" s="214" t="s">
        <v>1129</v>
      </c>
      <c r="R52" s="214" t="s">
        <v>1130</v>
      </c>
      <c r="S52" s="492"/>
      <c r="T52" s="206"/>
      <c r="U52" s="492"/>
      <c r="V52" s="179"/>
    </row>
    <row r="53" spans="1:22" ht="25.5">
      <c r="A53" s="208">
        <f t="shared" si="5"/>
        <v>0.37499999999999994</v>
      </c>
      <c r="B53" s="208">
        <f t="shared" si="4"/>
        <v>0.39583333333333326</v>
      </c>
      <c r="C53" s="206"/>
      <c r="D53" s="206"/>
      <c r="E53" s="206"/>
      <c r="F53" s="206"/>
      <c r="G53" s="206"/>
      <c r="H53" s="194"/>
      <c r="I53" s="215" t="s">
        <v>1131</v>
      </c>
      <c r="J53" s="217"/>
      <c r="K53" s="206"/>
      <c r="L53" s="206"/>
      <c r="M53" s="187" t="s">
        <v>1132</v>
      </c>
      <c r="N53" s="187" t="s">
        <v>1133</v>
      </c>
      <c r="O53" s="213" t="s">
        <v>1134</v>
      </c>
      <c r="P53" s="213" t="s">
        <v>1135</v>
      </c>
      <c r="Q53" s="508" t="s">
        <v>1136</v>
      </c>
      <c r="R53" s="492"/>
      <c r="S53" s="515" t="s">
        <v>1137</v>
      </c>
      <c r="T53" s="492"/>
      <c r="U53" s="492"/>
      <c r="V53" s="179"/>
    </row>
    <row r="54" spans="1:22" ht="25.5">
      <c r="A54" s="208">
        <f t="shared" si="5"/>
        <v>0.39583333333333326</v>
      </c>
      <c r="B54" s="208">
        <f t="shared" si="4"/>
        <v>0.41666666666666657</v>
      </c>
      <c r="C54" s="206"/>
      <c r="D54" s="206"/>
      <c r="E54" s="206"/>
      <c r="F54" s="206"/>
      <c r="G54" s="206"/>
      <c r="H54" s="194"/>
      <c r="I54" s="215" t="s">
        <v>1138</v>
      </c>
      <c r="J54" s="194"/>
      <c r="K54" s="206"/>
      <c r="L54" s="206"/>
      <c r="M54" s="213" t="s">
        <v>1139</v>
      </c>
      <c r="N54" s="189"/>
      <c r="O54" s="189"/>
      <c r="P54" s="189"/>
      <c r="Q54" s="214" t="s">
        <v>1140</v>
      </c>
      <c r="R54" s="214" t="s">
        <v>1141</v>
      </c>
      <c r="S54" s="492"/>
      <c r="T54" s="492"/>
      <c r="U54" s="492"/>
      <c r="V54" s="179"/>
    </row>
    <row r="55" spans="1:22" ht="25.5">
      <c r="A55" s="208">
        <f t="shared" si="5"/>
        <v>0.41666666666666657</v>
      </c>
      <c r="B55" s="208">
        <f t="shared" si="4"/>
        <v>0.43749999999999989</v>
      </c>
      <c r="C55" s="206"/>
      <c r="D55" s="206"/>
      <c r="E55" s="206"/>
      <c r="F55" s="206"/>
      <c r="G55" s="206"/>
      <c r="H55" s="188" t="s">
        <v>1142</v>
      </c>
      <c r="I55" s="194"/>
      <c r="J55" s="194"/>
      <c r="K55" s="206"/>
      <c r="L55" s="206"/>
      <c r="M55" s="213" t="s">
        <v>1143</v>
      </c>
      <c r="N55" s="189"/>
      <c r="O55" s="189"/>
      <c r="P55" s="189"/>
      <c r="Q55" s="216" t="s">
        <v>1144</v>
      </c>
      <c r="R55" s="216" t="s">
        <v>1145</v>
      </c>
      <c r="S55" s="206"/>
      <c r="T55" s="206"/>
      <c r="U55" s="206"/>
      <c r="V55" s="179"/>
    </row>
    <row r="56" spans="1:22" ht="25.5">
      <c r="A56" s="208">
        <f t="shared" si="5"/>
        <v>0.43749999999999989</v>
      </c>
      <c r="B56" s="205">
        <f t="shared" si="4"/>
        <v>0.4583333333333332</v>
      </c>
      <c r="C56" s="206"/>
      <c r="D56" s="206"/>
      <c r="E56" s="206"/>
      <c r="F56" s="206"/>
      <c r="G56" s="206"/>
      <c r="H56" s="189"/>
      <c r="I56" s="189"/>
      <c r="J56" s="189"/>
      <c r="K56" s="206"/>
      <c r="L56" s="206"/>
      <c r="M56" s="213" t="s">
        <v>1146</v>
      </c>
      <c r="N56" s="189"/>
      <c r="O56" s="189"/>
      <c r="P56" s="189"/>
      <c r="Q56" s="214" t="s">
        <v>1147</v>
      </c>
      <c r="R56" s="214" t="s">
        <v>1148</v>
      </c>
      <c r="S56" s="206"/>
      <c r="T56" s="189"/>
      <c r="U56" s="189"/>
      <c r="V56" s="179"/>
    </row>
    <row r="57" spans="1:22" ht="25.5">
      <c r="A57" s="499">
        <f t="shared" si="5"/>
        <v>0.4583333333333332</v>
      </c>
      <c r="B57" s="499">
        <v>0.47916666666666669</v>
      </c>
      <c r="C57" s="206"/>
      <c r="D57" s="206"/>
      <c r="E57" s="206"/>
      <c r="F57" s="206"/>
      <c r="G57" s="206"/>
      <c r="H57" s="189"/>
      <c r="I57" s="194"/>
      <c r="J57" s="194"/>
      <c r="K57" s="188" t="s">
        <v>1149</v>
      </c>
      <c r="L57" s="188" t="s">
        <v>1150</v>
      </c>
      <c r="M57" s="189"/>
      <c r="N57" s="189"/>
      <c r="O57" s="189"/>
      <c r="P57" s="189"/>
      <c r="Q57" s="189"/>
      <c r="R57" s="189"/>
      <c r="S57" s="189"/>
      <c r="T57" s="189"/>
      <c r="U57" s="189"/>
      <c r="V57" s="179"/>
    </row>
    <row r="58" spans="1:22">
      <c r="A58" s="492"/>
      <c r="B58" s="492"/>
      <c r="C58" s="206"/>
      <c r="D58" s="206"/>
      <c r="E58" s="206"/>
      <c r="F58" s="206"/>
      <c r="G58" s="206"/>
      <c r="H58" s="189"/>
      <c r="I58" s="194"/>
      <c r="J58" s="194"/>
      <c r="K58" s="188" t="s">
        <v>1151</v>
      </c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79"/>
    </row>
    <row r="59" spans="1:22">
      <c r="A59" s="492"/>
      <c r="B59" s="492"/>
      <c r="C59" s="206"/>
      <c r="D59" s="206"/>
      <c r="E59" s="206"/>
      <c r="F59" s="206"/>
      <c r="G59" s="206"/>
      <c r="H59" s="189"/>
      <c r="I59" s="194"/>
      <c r="J59" s="194"/>
      <c r="K59" s="188" t="s">
        <v>1152</v>
      </c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79"/>
    </row>
    <row r="60" spans="1:22">
      <c r="A60" s="218">
        <v>0.47916666666666652</v>
      </c>
      <c r="B60" s="218">
        <f>A60+ TIME(0, 30, 0)</f>
        <v>0.49999999999999983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9"/>
      <c r="R60" s="219"/>
      <c r="S60" s="218"/>
      <c r="T60" s="220"/>
      <c r="U60" s="219"/>
      <c r="V60" s="179"/>
    </row>
    <row r="61" spans="1:22">
      <c r="A61" s="498" t="s">
        <v>995</v>
      </c>
      <c r="B61" s="492"/>
      <c r="C61" s="498" t="s">
        <v>996</v>
      </c>
      <c r="D61" s="498"/>
      <c r="E61" s="498"/>
      <c r="F61" s="498"/>
      <c r="G61" s="498"/>
      <c r="H61" s="185" t="s">
        <v>996</v>
      </c>
      <c r="I61" s="185" t="s">
        <v>996</v>
      </c>
      <c r="J61" s="185" t="s">
        <v>996</v>
      </c>
      <c r="K61" s="185" t="s">
        <v>996</v>
      </c>
      <c r="L61" s="185" t="s">
        <v>996</v>
      </c>
      <c r="M61" s="185" t="s">
        <v>996</v>
      </c>
      <c r="N61" s="185" t="s">
        <v>996</v>
      </c>
      <c r="O61" s="185" t="s">
        <v>996</v>
      </c>
      <c r="P61" s="185" t="s">
        <v>996</v>
      </c>
      <c r="Q61" s="512" t="s">
        <v>996</v>
      </c>
      <c r="R61" s="513"/>
      <c r="S61" s="513"/>
      <c r="T61" s="513"/>
      <c r="U61" s="514"/>
      <c r="V61" s="179"/>
    </row>
    <row r="62" spans="1:22">
      <c r="A62" s="498" t="s">
        <v>1153</v>
      </c>
      <c r="B62" s="492"/>
      <c r="C62" s="185"/>
      <c r="D62" s="185"/>
      <c r="E62" s="185"/>
      <c r="F62" s="185"/>
      <c r="G62" s="185"/>
      <c r="H62" s="185"/>
      <c r="I62" s="185" t="s">
        <v>1154</v>
      </c>
      <c r="J62" s="498" t="s">
        <v>1154</v>
      </c>
      <c r="K62" s="498"/>
      <c r="L62" s="498"/>
      <c r="M62" s="498"/>
      <c r="N62" s="498"/>
      <c r="O62" s="498"/>
      <c r="P62" s="498"/>
      <c r="Q62" s="512" t="s">
        <v>1154</v>
      </c>
      <c r="R62" s="513"/>
      <c r="S62" s="513"/>
      <c r="T62" s="513"/>
      <c r="U62" s="514"/>
      <c r="V62" s="179"/>
    </row>
    <row r="63" spans="1:22">
      <c r="A63" s="221"/>
      <c r="B63" s="221"/>
      <c r="C63" s="222"/>
      <c r="D63" s="222"/>
      <c r="E63" s="222"/>
      <c r="F63" s="222"/>
      <c r="G63" s="222"/>
      <c r="H63" s="223"/>
      <c r="I63" s="222"/>
      <c r="J63" s="222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179"/>
    </row>
    <row r="64" spans="1:22">
      <c r="A64" s="221"/>
      <c r="B64" s="221"/>
      <c r="C64" s="222"/>
      <c r="D64" s="222"/>
      <c r="E64" s="222"/>
      <c r="F64" s="222"/>
      <c r="G64" s="222"/>
      <c r="H64" s="223"/>
      <c r="I64" s="222"/>
      <c r="J64" s="222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179"/>
    </row>
    <row r="65" spans="1:22">
      <c r="A65" s="221"/>
      <c r="B65" s="221"/>
      <c r="C65" s="222"/>
      <c r="D65" s="222"/>
      <c r="E65" s="222"/>
      <c r="F65" s="222"/>
      <c r="G65" s="222"/>
      <c r="H65" s="223"/>
      <c r="I65" s="222"/>
      <c r="J65" s="222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179"/>
    </row>
    <row r="66" spans="1:22">
      <c r="A66" s="221"/>
      <c r="B66" s="221"/>
      <c r="C66" s="222"/>
      <c r="D66" s="222"/>
      <c r="E66" s="222"/>
      <c r="F66" s="222"/>
      <c r="G66" s="222"/>
      <c r="H66" s="223"/>
      <c r="I66" s="222"/>
      <c r="J66" s="222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179"/>
    </row>
    <row r="67" spans="1:22">
      <c r="A67" s="221"/>
      <c r="B67" s="221"/>
      <c r="C67" s="222"/>
      <c r="D67" s="222"/>
      <c r="E67" s="222"/>
      <c r="F67" s="222"/>
      <c r="G67" s="222"/>
      <c r="H67" s="223"/>
      <c r="I67" s="222"/>
      <c r="J67" s="222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179"/>
    </row>
    <row r="68" spans="1:22">
      <c r="A68" s="221"/>
      <c r="B68" s="221"/>
      <c r="C68" s="222"/>
      <c r="D68" s="222"/>
      <c r="E68" s="222"/>
      <c r="F68" s="222"/>
      <c r="G68" s="222"/>
      <c r="H68" s="223"/>
      <c r="I68" s="222"/>
      <c r="J68" s="222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179"/>
    </row>
    <row r="69" spans="1:22">
      <c r="A69" s="221"/>
      <c r="B69" s="221"/>
      <c r="C69" s="222"/>
      <c r="D69" s="222"/>
      <c r="E69" s="222"/>
      <c r="F69" s="222"/>
      <c r="G69" s="222"/>
      <c r="H69" s="223"/>
      <c r="I69" s="222"/>
      <c r="J69" s="222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179"/>
    </row>
    <row r="70" spans="1:22">
      <c r="A70" s="221"/>
      <c r="B70" s="221"/>
      <c r="C70" s="222"/>
      <c r="D70" s="222"/>
      <c r="E70" s="222"/>
      <c r="F70" s="222"/>
      <c r="G70" s="222"/>
      <c r="H70" s="223"/>
      <c r="I70" s="222"/>
      <c r="J70" s="222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179"/>
    </row>
    <row r="71" spans="1:22">
      <c r="A71" s="221"/>
      <c r="B71" s="221"/>
      <c r="C71" s="222"/>
      <c r="D71" s="222"/>
      <c r="E71" s="222"/>
      <c r="F71" s="222"/>
      <c r="G71" s="222"/>
      <c r="H71" s="223"/>
      <c r="I71" s="222"/>
      <c r="J71" s="222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179"/>
    </row>
    <row r="72" spans="1:22">
      <c r="A72" s="221"/>
      <c r="B72" s="221"/>
      <c r="C72" s="222"/>
      <c r="D72" s="222"/>
      <c r="E72" s="222"/>
      <c r="F72" s="222"/>
      <c r="G72" s="222"/>
      <c r="H72" s="223"/>
      <c r="I72" s="222"/>
      <c r="J72" s="222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179"/>
    </row>
    <row r="73" spans="1:22">
      <c r="A73" s="221"/>
      <c r="B73" s="221"/>
      <c r="C73" s="222"/>
      <c r="D73" s="222"/>
      <c r="E73" s="222"/>
      <c r="F73" s="222"/>
      <c r="G73" s="222"/>
      <c r="H73" s="223"/>
      <c r="I73" s="222"/>
      <c r="J73" s="222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179"/>
    </row>
    <row r="74" spans="1:22">
      <c r="A74" s="221"/>
      <c r="B74" s="221"/>
      <c r="C74" s="222"/>
      <c r="D74" s="222"/>
      <c r="E74" s="222"/>
      <c r="F74" s="222"/>
      <c r="G74" s="222"/>
      <c r="H74" s="223"/>
      <c r="I74" s="222"/>
      <c r="J74" s="222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179"/>
    </row>
    <row r="75" spans="1:22">
      <c r="A75" s="221"/>
      <c r="B75" s="221"/>
      <c r="C75" s="222"/>
      <c r="D75" s="222"/>
      <c r="E75" s="222"/>
      <c r="F75" s="222"/>
      <c r="G75" s="222"/>
      <c r="H75" s="223"/>
      <c r="I75" s="222"/>
      <c r="J75" s="222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179"/>
    </row>
    <row r="76" spans="1:22">
      <c r="A76" s="221"/>
      <c r="B76" s="221"/>
      <c r="C76" s="222"/>
      <c r="D76" s="222"/>
      <c r="E76" s="222"/>
      <c r="F76" s="222"/>
      <c r="G76" s="222"/>
      <c r="H76" s="223"/>
      <c r="I76" s="222"/>
      <c r="J76" s="222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179"/>
    </row>
    <row r="77" spans="1:22">
      <c r="A77" s="221"/>
      <c r="B77" s="221"/>
      <c r="C77" s="222"/>
      <c r="D77" s="222"/>
      <c r="E77" s="222"/>
      <c r="F77" s="222"/>
      <c r="G77" s="222"/>
      <c r="H77" s="223"/>
      <c r="I77" s="222"/>
      <c r="J77" s="222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179"/>
    </row>
    <row r="78" spans="1:22">
      <c r="A78" s="221"/>
      <c r="B78" s="221"/>
      <c r="C78" s="222"/>
      <c r="D78" s="222"/>
      <c r="E78" s="222"/>
      <c r="F78" s="222"/>
      <c r="G78" s="222"/>
      <c r="H78" s="223"/>
      <c r="I78" s="222"/>
      <c r="J78" s="222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179"/>
    </row>
    <row r="79" spans="1:22">
      <c r="A79" s="221"/>
      <c r="B79" s="221"/>
      <c r="C79" s="222"/>
      <c r="D79" s="222"/>
      <c r="E79" s="222"/>
      <c r="F79" s="222"/>
      <c r="G79" s="222"/>
      <c r="H79" s="223"/>
      <c r="I79" s="222"/>
      <c r="J79" s="222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179"/>
    </row>
    <row r="80" spans="1:22">
      <c r="A80" s="221"/>
      <c r="B80" s="221"/>
      <c r="C80" s="222"/>
      <c r="D80" s="222"/>
      <c r="E80" s="222"/>
      <c r="F80" s="222"/>
      <c r="G80" s="222"/>
      <c r="H80" s="223"/>
      <c r="I80" s="222"/>
      <c r="J80" s="222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179"/>
    </row>
    <row r="81" spans="1:22">
      <c r="A81" s="221"/>
      <c r="B81" s="221"/>
      <c r="C81" s="222"/>
      <c r="D81" s="222"/>
      <c r="E81" s="222"/>
      <c r="F81" s="222"/>
      <c r="G81" s="222"/>
      <c r="H81" s="223"/>
      <c r="I81" s="222"/>
      <c r="J81" s="222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179"/>
    </row>
    <row r="82" spans="1:22">
      <c r="A82" s="221"/>
      <c r="B82" s="221"/>
      <c r="C82" s="222"/>
      <c r="D82" s="222"/>
      <c r="E82" s="222"/>
      <c r="F82" s="222"/>
      <c r="G82" s="222"/>
      <c r="H82" s="223"/>
      <c r="I82" s="222"/>
      <c r="J82" s="222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179"/>
    </row>
    <row r="83" spans="1:22">
      <c r="A83" s="221"/>
      <c r="B83" s="221"/>
      <c r="C83" s="222"/>
      <c r="D83" s="222"/>
      <c r="E83" s="222"/>
      <c r="F83" s="222"/>
      <c r="G83" s="222"/>
      <c r="H83" s="223"/>
      <c r="I83" s="222"/>
      <c r="J83" s="222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179"/>
    </row>
    <row r="84" spans="1:22">
      <c r="A84" s="221"/>
      <c r="B84" s="221"/>
      <c r="C84" s="222"/>
      <c r="D84" s="222"/>
      <c r="E84" s="222"/>
      <c r="F84" s="222"/>
      <c r="G84" s="222"/>
      <c r="H84" s="223"/>
      <c r="I84" s="222"/>
      <c r="J84" s="222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179"/>
    </row>
    <row r="85" spans="1:22">
      <c r="A85" s="221"/>
      <c r="B85" s="221"/>
      <c r="C85" s="222"/>
      <c r="D85" s="222"/>
      <c r="E85" s="222"/>
      <c r="F85" s="222"/>
      <c r="G85" s="222"/>
      <c r="H85" s="223"/>
      <c r="I85" s="222"/>
      <c r="J85" s="222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179"/>
    </row>
    <row r="86" spans="1:22">
      <c r="A86" s="221"/>
      <c r="B86" s="221"/>
      <c r="C86" s="222"/>
      <c r="D86" s="222"/>
      <c r="E86" s="222"/>
      <c r="F86" s="222"/>
      <c r="G86" s="222"/>
      <c r="H86" s="223"/>
      <c r="I86" s="222"/>
      <c r="J86" s="222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179"/>
    </row>
    <row r="87" spans="1:22">
      <c r="A87" s="221"/>
      <c r="B87" s="221"/>
      <c r="C87" s="222"/>
      <c r="D87" s="222"/>
      <c r="E87" s="222"/>
      <c r="F87" s="222"/>
      <c r="G87" s="222"/>
      <c r="H87" s="223"/>
      <c r="I87" s="222"/>
      <c r="J87" s="222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179"/>
    </row>
    <row r="88" spans="1:22">
      <c r="A88" s="221"/>
      <c r="B88" s="221"/>
      <c r="C88" s="222"/>
      <c r="D88" s="222"/>
      <c r="E88" s="222"/>
      <c r="F88" s="222"/>
      <c r="G88" s="222"/>
      <c r="H88" s="223"/>
      <c r="I88" s="222"/>
      <c r="J88" s="222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179"/>
    </row>
    <row r="89" spans="1:22">
      <c r="A89" s="221"/>
      <c r="B89" s="221"/>
      <c r="C89" s="222"/>
      <c r="D89" s="222"/>
      <c r="E89" s="222"/>
      <c r="F89" s="222"/>
      <c r="G89" s="222"/>
      <c r="H89" s="223"/>
      <c r="I89" s="222"/>
      <c r="J89" s="222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179"/>
    </row>
    <row r="90" spans="1:22">
      <c r="A90" s="221"/>
      <c r="B90" s="221"/>
      <c r="C90" s="222"/>
      <c r="D90" s="222"/>
      <c r="E90" s="222"/>
      <c r="F90" s="222"/>
      <c r="G90" s="222"/>
      <c r="H90" s="223"/>
      <c r="I90" s="222"/>
      <c r="J90" s="222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179"/>
    </row>
    <row r="91" spans="1:22">
      <c r="A91" s="221"/>
      <c r="B91" s="221"/>
      <c r="C91" s="222"/>
      <c r="D91" s="222"/>
      <c r="E91" s="222"/>
      <c r="F91" s="222"/>
      <c r="G91" s="222"/>
      <c r="H91" s="223"/>
      <c r="I91" s="222"/>
      <c r="J91" s="222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179"/>
    </row>
    <row r="92" spans="1:22">
      <c r="A92" s="221"/>
      <c r="B92" s="221"/>
      <c r="C92" s="222"/>
      <c r="D92" s="222"/>
      <c r="E92" s="222"/>
      <c r="F92" s="222"/>
      <c r="G92" s="222"/>
      <c r="H92" s="223"/>
      <c r="I92" s="222"/>
      <c r="J92" s="222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179"/>
    </row>
    <row r="93" spans="1:22">
      <c r="A93" s="221"/>
      <c r="B93" s="221"/>
      <c r="C93" s="222"/>
      <c r="D93" s="222"/>
      <c r="E93" s="222"/>
      <c r="F93" s="222"/>
      <c r="G93" s="222"/>
      <c r="H93" s="223"/>
      <c r="I93" s="222"/>
      <c r="J93" s="222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179"/>
    </row>
    <row r="94" spans="1:22">
      <c r="A94" s="221"/>
      <c r="B94" s="221"/>
      <c r="C94" s="222"/>
      <c r="D94" s="222"/>
      <c r="E94" s="222"/>
      <c r="F94" s="222"/>
      <c r="G94" s="222"/>
      <c r="H94" s="223"/>
      <c r="I94" s="222"/>
      <c r="J94" s="222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179"/>
    </row>
    <row r="95" spans="1:22">
      <c r="A95" s="221"/>
      <c r="B95" s="221"/>
      <c r="C95" s="222"/>
      <c r="D95" s="222"/>
      <c r="E95" s="222"/>
      <c r="F95" s="222"/>
      <c r="G95" s="222"/>
      <c r="H95" s="223"/>
      <c r="I95" s="222"/>
      <c r="J95" s="222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179"/>
    </row>
    <row r="96" spans="1:22">
      <c r="A96" s="221"/>
      <c r="B96" s="221"/>
      <c r="C96" s="222"/>
      <c r="D96" s="222"/>
      <c r="E96" s="222"/>
      <c r="F96" s="222"/>
      <c r="G96" s="222"/>
      <c r="H96" s="223"/>
      <c r="I96" s="222"/>
      <c r="J96" s="222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179"/>
    </row>
    <row r="97" spans="1:22">
      <c r="A97" s="221"/>
      <c r="B97" s="221"/>
      <c r="C97" s="222"/>
      <c r="D97" s="222"/>
      <c r="E97" s="222"/>
      <c r="F97" s="222"/>
      <c r="G97" s="222"/>
      <c r="H97" s="223"/>
      <c r="I97" s="222"/>
      <c r="J97" s="222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179"/>
    </row>
    <row r="98" spans="1:22">
      <c r="A98" s="221"/>
      <c r="B98" s="221"/>
      <c r="C98" s="222"/>
      <c r="D98" s="222"/>
      <c r="E98" s="222"/>
      <c r="F98" s="222"/>
      <c r="G98" s="222"/>
      <c r="H98" s="223"/>
      <c r="I98" s="222"/>
      <c r="J98" s="222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179"/>
    </row>
    <row r="99" spans="1:22">
      <c r="A99" s="221"/>
      <c r="B99" s="221"/>
      <c r="C99" s="222"/>
      <c r="D99" s="222"/>
      <c r="E99" s="222"/>
      <c r="F99" s="222"/>
      <c r="G99" s="222"/>
      <c r="H99" s="223"/>
      <c r="I99" s="222"/>
      <c r="J99" s="222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179"/>
    </row>
    <row r="100" spans="1:22">
      <c r="A100" s="221"/>
      <c r="B100" s="221"/>
      <c r="C100" s="222"/>
      <c r="D100" s="222"/>
      <c r="E100" s="222"/>
      <c r="F100" s="222"/>
      <c r="G100" s="222"/>
      <c r="H100" s="223"/>
      <c r="I100" s="222"/>
      <c r="J100" s="222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179"/>
    </row>
    <row r="101" spans="1:22">
      <c r="A101" s="221"/>
      <c r="B101" s="221"/>
      <c r="C101" s="222"/>
      <c r="D101" s="222"/>
      <c r="E101" s="222"/>
      <c r="F101" s="222"/>
      <c r="G101" s="222"/>
      <c r="H101" s="223"/>
      <c r="I101" s="222"/>
      <c r="J101" s="222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179"/>
    </row>
    <row r="102" spans="1:22">
      <c r="A102" s="221"/>
      <c r="B102" s="221"/>
      <c r="C102" s="222"/>
      <c r="D102" s="222"/>
      <c r="E102" s="222"/>
      <c r="F102" s="222"/>
      <c r="G102" s="222"/>
      <c r="H102" s="223"/>
      <c r="I102" s="222"/>
      <c r="J102" s="222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179"/>
    </row>
    <row r="103" spans="1:22">
      <c r="A103" s="221"/>
      <c r="B103" s="221"/>
      <c r="C103" s="222"/>
      <c r="D103" s="222"/>
      <c r="E103" s="222"/>
      <c r="F103" s="222"/>
      <c r="G103" s="222"/>
      <c r="H103" s="223"/>
      <c r="I103" s="222"/>
      <c r="J103" s="222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179"/>
    </row>
    <row r="104" spans="1:22">
      <c r="A104" s="221"/>
      <c r="B104" s="221"/>
      <c r="C104" s="222"/>
      <c r="D104" s="222"/>
      <c r="E104" s="222"/>
      <c r="F104" s="222"/>
      <c r="G104" s="222"/>
      <c r="H104" s="223"/>
      <c r="I104" s="222"/>
      <c r="J104" s="222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179"/>
    </row>
    <row r="105" spans="1:22">
      <c r="A105" s="221"/>
      <c r="B105" s="221"/>
      <c r="C105" s="222"/>
      <c r="D105" s="222"/>
      <c r="E105" s="222"/>
      <c r="F105" s="222"/>
      <c r="G105" s="222"/>
      <c r="H105" s="223"/>
      <c r="I105" s="222"/>
      <c r="J105" s="222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179"/>
    </row>
    <row r="106" spans="1:22">
      <c r="A106" s="221"/>
      <c r="B106" s="221"/>
      <c r="C106" s="222"/>
      <c r="D106" s="222"/>
      <c r="E106" s="222"/>
      <c r="F106" s="222"/>
      <c r="G106" s="222"/>
      <c r="H106" s="223"/>
      <c r="I106" s="222"/>
      <c r="J106" s="222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179"/>
    </row>
    <row r="107" spans="1:22">
      <c r="A107" s="221"/>
      <c r="B107" s="221"/>
      <c r="C107" s="222"/>
      <c r="D107" s="222"/>
      <c r="E107" s="222"/>
      <c r="F107" s="222"/>
      <c r="G107" s="222"/>
      <c r="H107" s="223"/>
      <c r="I107" s="222"/>
      <c r="J107" s="222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179"/>
    </row>
    <row r="108" spans="1:22">
      <c r="A108" s="221"/>
      <c r="B108" s="221"/>
      <c r="C108" s="222"/>
      <c r="D108" s="222"/>
      <c r="E108" s="222"/>
      <c r="F108" s="222"/>
      <c r="G108" s="222"/>
      <c r="H108" s="223"/>
      <c r="I108" s="222"/>
      <c r="J108" s="222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179"/>
    </row>
    <row r="109" spans="1:22">
      <c r="A109" s="221"/>
      <c r="B109" s="221"/>
      <c r="C109" s="222"/>
      <c r="D109" s="222"/>
      <c r="E109" s="222"/>
      <c r="F109" s="222"/>
      <c r="G109" s="222"/>
      <c r="H109" s="223"/>
      <c r="I109" s="222"/>
      <c r="J109" s="222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179"/>
    </row>
    <row r="110" spans="1:22">
      <c r="A110" s="221"/>
      <c r="B110" s="221"/>
      <c r="C110" s="222"/>
      <c r="D110" s="222"/>
      <c r="E110" s="222"/>
      <c r="F110" s="222"/>
      <c r="G110" s="222"/>
      <c r="H110" s="223"/>
      <c r="I110" s="222"/>
      <c r="J110" s="222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179"/>
    </row>
    <row r="111" spans="1:22">
      <c r="A111" s="221"/>
      <c r="B111" s="221"/>
      <c r="C111" s="222"/>
      <c r="D111" s="222"/>
      <c r="E111" s="222"/>
      <c r="F111" s="222"/>
      <c r="G111" s="222"/>
      <c r="H111" s="223"/>
      <c r="I111" s="222"/>
      <c r="J111" s="222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179"/>
    </row>
    <row r="112" spans="1:22">
      <c r="A112" s="221"/>
      <c r="B112" s="221"/>
      <c r="C112" s="222"/>
      <c r="D112" s="222"/>
      <c r="E112" s="222"/>
      <c r="F112" s="222"/>
      <c r="G112" s="222"/>
      <c r="H112" s="223"/>
      <c r="I112" s="222"/>
      <c r="J112" s="222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179"/>
    </row>
    <row r="113" spans="1:22">
      <c r="A113" s="221"/>
      <c r="B113" s="221"/>
      <c r="C113" s="222"/>
      <c r="D113" s="222"/>
      <c r="E113" s="222"/>
      <c r="F113" s="222"/>
      <c r="G113" s="222"/>
      <c r="H113" s="223"/>
      <c r="I113" s="222"/>
      <c r="J113" s="222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179"/>
    </row>
    <row r="114" spans="1:22">
      <c r="A114" s="221"/>
      <c r="B114" s="221"/>
      <c r="C114" s="222"/>
      <c r="D114" s="222"/>
      <c r="E114" s="222"/>
      <c r="F114" s="222"/>
      <c r="G114" s="222"/>
      <c r="H114" s="223"/>
      <c r="I114" s="222"/>
      <c r="J114" s="222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179"/>
    </row>
    <row r="115" spans="1:22">
      <c r="A115" s="221"/>
      <c r="B115" s="221"/>
      <c r="C115" s="222"/>
      <c r="D115" s="222"/>
      <c r="E115" s="222"/>
      <c r="F115" s="222"/>
      <c r="G115" s="222"/>
      <c r="H115" s="223"/>
      <c r="I115" s="222"/>
      <c r="J115" s="222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179"/>
    </row>
    <row r="116" spans="1:22">
      <c r="A116" s="221"/>
      <c r="B116" s="221"/>
      <c r="C116" s="222"/>
      <c r="D116" s="222"/>
      <c r="E116" s="222"/>
      <c r="F116" s="222"/>
      <c r="G116" s="222"/>
      <c r="H116" s="223"/>
      <c r="I116" s="222"/>
      <c r="J116" s="222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179"/>
    </row>
    <row r="117" spans="1:22">
      <c r="A117" s="221"/>
      <c r="B117" s="221"/>
      <c r="C117" s="222"/>
      <c r="D117" s="222"/>
      <c r="E117" s="222"/>
      <c r="F117" s="222"/>
      <c r="G117" s="222"/>
      <c r="H117" s="223"/>
      <c r="I117" s="222"/>
      <c r="J117" s="222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179"/>
    </row>
    <row r="118" spans="1:22">
      <c r="A118" s="221"/>
      <c r="B118" s="221"/>
      <c r="C118" s="222"/>
      <c r="D118" s="222"/>
      <c r="E118" s="222"/>
      <c r="F118" s="222"/>
      <c r="G118" s="222"/>
      <c r="H118" s="223"/>
      <c r="I118" s="222"/>
      <c r="J118" s="222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179"/>
    </row>
    <row r="119" spans="1:22">
      <c r="A119" s="221"/>
      <c r="B119" s="221"/>
      <c r="C119" s="222"/>
      <c r="D119" s="222"/>
      <c r="E119" s="222"/>
      <c r="F119" s="222"/>
      <c r="G119" s="222"/>
      <c r="H119" s="223"/>
      <c r="I119" s="222"/>
      <c r="J119" s="222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179"/>
    </row>
    <row r="120" spans="1:22">
      <c r="A120" s="221"/>
      <c r="B120" s="221"/>
      <c r="C120" s="222"/>
      <c r="D120" s="222"/>
      <c r="E120" s="222"/>
      <c r="F120" s="222"/>
      <c r="G120" s="222"/>
      <c r="H120" s="223"/>
      <c r="I120" s="222"/>
      <c r="J120" s="222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179"/>
    </row>
    <row r="121" spans="1:22">
      <c r="A121" s="221"/>
      <c r="B121" s="221"/>
      <c r="C121" s="222"/>
      <c r="D121" s="222"/>
      <c r="E121" s="222"/>
      <c r="F121" s="222"/>
      <c r="G121" s="222"/>
      <c r="H121" s="223"/>
      <c r="I121" s="222"/>
      <c r="J121" s="222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179"/>
    </row>
    <row r="122" spans="1:22">
      <c r="A122" s="221"/>
      <c r="B122" s="221"/>
      <c r="C122" s="222"/>
      <c r="D122" s="222"/>
      <c r="E122" s="222"/>
      <c r="F122" s="222"/>
      <c r="G122" s="222"/>
      <c r="H122" s="223"/>
      <c r="I122" s="222"/>
      <c r="J122" s="222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179"/>
    </row>
    <row r="123" spans="1:22">
      <c r="A123" s="221"/>
      <c r="B123" s="221"/>
      <c r="C123" s="222"/>
      <c r="D123" s="222"/>
      <c r="E123" s="222"/>
      <c r="F123" s="222"/>
      <c r="G123" s="222"/>
      <c r="H123" s="223"/>
      <c r="I123" s="222"/>
      <c r="J123" s="222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179"/>
    </row>
    <row r="124" spans="1:22">
      <c r="A124" s="221"/>
      <c r="B124" s="221"/>
      <c r="C124" s="222"/>
      <c r="D124" s="222"/>
      <c r="E124" s="222"/>
      <c r="F124" s="222"/>
      <c r="G124" s="222"/>
      <c r="H124" s="223"/>
      <c r="I124" s="222"/>
      <c r="J124" s="222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179"/>
    </row>
    <row r="125" spans="1:22">
      <c r="A125" s="221"/>
      <c r="B125" s="221"/>
      <c r="C125" s="222"/>
      <c r="D125" s="222"/>
      <c r="E125" s="222"/>
      <c r="F125" s="222"/>
      <c r="G125" s="222"/>
      <c r="H125" s="223"/>
      <c r="I125" s="222"/>
      <c r="J125" s="222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179"/>
    </row>
    <row r="126" spans="1:22">
      <c r="A126" s="221"/>
      <c r="B126" s="221"/>
      <c r="C126" s="222"/>
      <c r="D126" s="222"/>
      <c r="E126" s="222"/>
      <c r="F126" s="222"/>
      <c r="G126" s="222"/>
      <c r="H126" s="223"/>
      <c r="I126" s="222"/>
      <c r="J126" s="222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179"/>
    </row>
    <row r="127" spans="1:22">
      <c r="A127" s="221"/>
      <c r="B127" s="221"/>
      <c r="C127" s="222"/>
      <c r="D127" s="222"/>
      <c r="E127" s="222"/>
      <c r="F127" s="222"/>
      <c r="G127" s="222"/>
      <c r="H127" s="223"/>
      <c r="I127" s="222"/>
      <c r="J127" s="222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179"/>
    </row>
    <row r="128" spans="1:22">
      <c r="A128" s="221"/>
      <c r="B128" s="221"/>
      <c r="C128" s="222"/>
      <c r="D128" s="222"/>
      <c r="E128" s="222"/>
      <c r="F128" s="222"/>
      <c r="G128" s="222"/>
      <c r="H128" s="223"/>
      <c r="I128" s="222"/>
      <c r="J128" s="222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179"/>
    </row>
    <row r="129" spans="1:22">
      <c r="A129" s="221"/>
      <c r="B129" s="221"/>
      <c r="C129" s="222"/>
      <c r="D129" s="222"/>
      <c r="E129" s="222"/>
      <c r="F129" s="222"/>
      <c r="G129" s="222"/>
      <c r="H129" s="223"/>
      <c r="I129" s="222"/>
      <c r="J129" s="222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179"/>
    </row>
    <row r="130" spans="1:22">
      <c r="A130" s="221"/>
      <c r="B130" s="221"/>
      <c r="C130" s="222"/>
      <c r="D130" s="222"/>
      <c r="E130" s="222"/>
      <c r="F130" s="222"/>
      <c r="G130" s="222"/>
      <c r="H130" s="223"/>
      <c r="I130" s="222"/>
      <c r="J130" s="222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179"/>
    </row>
    <row r="131" spans="1:22">
      <c r="A131" s="221"/>
      <c r="B131" s="221"/>
      <c r="C131" s="222"/>
      <c r="D131" s="222"/>
      <c r="E131" s="222"/>
      <c r="F131" s="222"/>
      <c r="G131" s="222"/>
      <c r="H131" s="223"/>
      <c r="I131" s="222"/>
      <c r="J131" s="222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179"/>
    </row>
    <row r="132" spans="1:22">
      <c r="A132" s="221"/>
      <c r="B132" s="221"/>
      <c r="C132" s="222"/>
      <c r="D132" s="222"/>
      <c r="E132" s="222"/>
      <c r="F132" s="222"/>
      <c r="G132" s="222"/>
      <c r="H132" s="223"/>
      <c r="I132" s="222"/>
      <c r="J132" s="222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179"/>
    </row>
    <row r="133" spans="1:22">
      <c r="A133" s="221"/>
      <c r="B133" s="221"/>
      <c r="C133" s="222"/>
      <c r="D133" s="222"/>
      <c r="E133" s="222"/>
      <c r="F133" s="222"/>
      <c r="G133" s="222"/>
      <c r="H133" s="223"/>
      <c r="I133" s="222"/>
      <c r="J133" s="222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179"/>
    </row>
    <row r="134" spans="1:22">
      <c r="A134" s="221"/>
      <c r="B134" s="221"/>
      <c r="C134" s="222"/>
      <c r="D134" s="222"/>
      <c r="E134" s="222"/>
      <c r="F134" s="222"/>
      <c r="G134" s="222"/>
      <c r="H134" s="223"/>
      <c r="I134" s="222"/>
      <c r="J134" s="222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179"/>
    </row>
    <row r="135" spans="1:22">
      <c r="A135" s="221"/>
      <c r="B135" s="221"/>
      <c r="C135" s="222"/>
      <c r="D135" s="222"/>
      <c r="E135" s="222"/>
      <c r="F135" s="222"/>
      <c r="G135" s="222"/>
      <c r="H135" s="223"/>
      <c r="I135" s="222"/>
      <c r="J135" s="222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179"/>
    </row>
    <row r="136" spans="1:22">
      <c r="A136" s="221"/>
      <c r="B136" s="221"/>
      <c r="C136" s="222"/>
      <c r="D136" s="222"/>
      <c r="E136" s="222"/>
      <c r="F136" s="222"/>
      <c r="G136" s="222"/>
      <c r="H136" s="223"/>
      <c r="I136" s="222"/>
      <c r="J136" s="222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179"/>
    </row>
    <row r="137" spans="1:22">
      <c r="A137" s="221"/>
      <c r="B137" s="221"/>
      <c r="C137" s="222"/>
      <c r="D137" s="222"/>
      <c r="E137" s="222"/>
      <c r="F137" s="222"/>
      <c r="G137" s="222"/>
      <c r="H137" s="223"/>
      <c r="I137" s="222"/>
      <c r="J137" s="222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179"/>
    </row>
    <row r="138" spans="1:22">
      <c r="A138" s="221"/>
      <c r="B138" s="221"/>
      <c r="C138" s="222"/>
      <c r="D138" s="222"/>
      <c r="E138" s="222"/>
      <c r="F138" s="222"/>
      <c r="G138" s="222"/>
      <c r="H138" s="223"/>
      <c r="I138" s="222"/>
      <c r="J138" s="222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179"/>
    </row>
    <row r="139" spans="1:22">
      <c r="A139" s="221"/>
      <c r="B139" s="221"/>
      <c r="C139" s="222"/>
      <c r="D139" s="222"/>
      <c r="E139" s="222"/>
      <c r="F139" s="222"/>
      <c r="G139" s="222"/>
      <c r="H139" s="223"/>
      <c r="I139" s="222"/>
      <c r="J139" s="222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179"/>
    </row>
    <row r="140" spans="1:22">
      <c r="A140" s="221"/>
      <c r="B140" s="221"/>
      <c r="C140" s="222"/>
      <c r="D140" s="222"/>
      <c r="E140" s="222"/>
      <c r="F140" s="222"/>
      <c r="G140" s="222"/>
      <c r="H140" s="223"/>
      <c r="I140" s="222"/>
      <c r="J140" s="222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179"/>
    </row>
    <row r="141" spans="1:22">
      <c r="A141" s="221"/>
      <c r="B141" s="221"/>
      <c r="C141" s="222"/>
      <c r="D141" s="222"/>
      <c r="E141" s="222"/>
      <c r="F141" s="222"/>
      <c r="G141" s="222"/>
      <c r="H141" s="223"/>
      <c r="I141" s="222"/>
      <c r="J141" s="222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179"/>
    </row>
    <row r="142" spans="1:22">
      <c r="A142" s="221"/>
      <c r="B142" s="221"/>
      <c r="C142" s="222"/>
      <c r="D142" s="222"/>
      <c r="E142" s="222"/>
      <c r="F142" s="222"/>
      <c r="G142" s="222"/>
      <c r="H142" s="223"/>
      <c r="I142" s="222"/>
      <c r="J142" s="222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179"/>
    </row>
    <row r="143" spans="1:22">
      <c r="A143" s="221"/>
      <c r="B143" s="221"/>
      <c r="C143" s="222"/>
      <c r="D143" s="222"/>
      <c r="E143" s="222"/>
      <c r="F143" s="222"/>
      <c r="G143" s="222"/>
      <c r="H143" s="223"/>
      <c r="I143" s="222"/>
      <c r="J143" s="222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179"/>
    </row>
    <row r="144" spans="1:22">
      <c r="A144" s="221"/>
      <c r="B144" s="221"/>
      <c r="C144" s="222"/>
      <c r="D144" s="222"/>
      <c r="E144" s="222"/>
      <c r="F144" s="222"/>
      <c r="G144" s="222"/>
      <c r="H144" s="223"/>
      <c r="I144" s="222"/>
      <c r="J144" s="222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179"/>
    </row>
    <row r="145" spans="1:22">
      <c r="A145" s="221"/>
      <c r="B145" s="221"/>
      <c r="C145" s="222"/>
      <c r="D145" s="222"/>
      <c r="E145" s="222"/>
      <c r="F145" s="222"/>
      <c r="G145" s="222"/>
      <c r="H145" s="223"/>
      <c r="I145" s="222"/>
      <c r="J145" s="222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179"/>
    </row>
    <row r="146" spans="1:22">
      <c r="A146" s="221"/>
      <c r="B146" s="221"/>
      <c r="C146" s="222"/>
      <c r="D146" s="222"/>
      <c r="E146" s="222"/>
      <c r="F146" s="222"/>
      <c r="G146" s="222"/>
      <c r="H146" s="223"/>
      <c r="I146" s="222"/>
      <c r="J146" s="222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179"/>
    </row>
    <row r="147" spans="1:22">
      <c r="A147" s="221"/>
      <c r="B147" s="221"/>
      <c r="C147" s="222"/>
      <c r="D147" s="222"/>
      <c r="E147" s="222"/>
      <c r="F147" s="222"/>
      <c r="G147" s="222"/>
      <c r="H147" s="223"/>
      <c r="I147" s="222"/>
      <c r="J147" s="222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179"/>
    </row>
    <row r="148" spans="1:22">
      <c r="A148" s="221"/>
      <c r="B148" s="221"/>
      <c r="C148" s="222"/>
      <c r="D148" s="222"/>
      <c r="E148" s="222"/>
      <c r="F148" s="222"/>
      <c r="G148" s="222"/>
      <c r="H148" s="223"/>
      <c r="I148" s="222"/>
      <c r="J148" s="222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179"/>
    </row>
    <row r="149" spans="1:22">
      <c r="A149" s="221"/>
      <c r="B149" s="221"/>
      <c r="C149" s="222"/>
      <c r="D149" s="222"/>
      <c r="E149" s="222"/>
      <c r="F149" s="222"/>
      <c r="G149" s="222"/>
      <c r="H149" s="223"/>
      <c r="I149" s="222"/>
      <c r="J149" s="222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179"/>
    </row>
    <row r="150" spans="1:22">
      <c r="A150" s="221"/>
      <c r="B150" s="221"/>
      <c r="C150" s="222"/>
      <c r="D150" s="222"/>
      <c r="E150" s="222"/>
      <c r="F150" s="222"/>
      <c r="G150" s="222"/>
      <c r="H150" s="223"/>
      <c r="I150" s="222"/>
      <c r="J150" s="222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179"/>
    </row>
    <row r="151" spans="1:22">
      <c r="A151" s="221"/>
      <c r="B151" s="221"/>
      <c r="C151" s="222"/>
      <c r="D151" s="222"/>
      <c r="E151" s="222"/>
      <c r="F151" s="222"/>
      <c r="G151" s="222"/>
      <c r="H151" s="223"/>
      <c r="I151" s="222"/>
      <c r="J151" s="222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179"/>
    </row>
    <row r="152" spans="1:22">
      <c r="A152" s="221"/>
      <c r="B152" s="221"/>
      <c r="C152" s="222"/>
      <c r="D152" s="222"/>
      <c r="E152" s="222"/>
      <c r="F152" s="222"/>
      <c r="G152" s="222"/>
      <c r="H152" s="223"/>
      <c r="I152" s="222"/>
      <c r="J152" s="222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179"/>
    </row>
    <row r="153" spans="1:22">
      <c r="A153" s="221"/>
      <c r="B153" s="221"/>
      <c r="C153" s="222"/>
      <c r="D153" s="222"/>
      <c r="E153" s="222"/>
      <c r="F153" s="222"/>
      <c r="G153" s="222"/>
      <c r="H153" s="223"/>
      <c r="I153" s="222"/>
      <c r="J153" s="222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179"/>
    </row>
    <row r="154" spans="1:22">
      <c r="A154" s="221"/>
      <c r="B154" s="221"/>
      <c r="C154" s="222"/>
      <c r="D154" s="222"/>
      <c r="E154" s="222"/>
      <c r="F154" s="222"/>
      <c r="G154" s="222"/>
      <c r="H154" s="223"/>
      <c r="I154" s="222"/>
      <c r="J154" s="222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179"/>
    </row>
    <row r="155" spans="1:22">
      <c r="A155" s="221"/>
      <c r="B155" s="221"/>
      <c r="C155" s="222"/>
      <c r="D155" s="222"/>
      <c r="E155" s="222"/>
      <c r="F155" s="222"/>
      <c r="G155" s="222"/>
      <c r="H155" s="223"/>
      <c r="I155" s="222"/>
      <c r="J155" s="222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179"/>
    </row>
    <row r="156" spans="1:22">
      <c r="A156" s="221"/>
      <c r="B156" s="221"/>
      <c r="C156" s="222"/>
      <c r="D156" s="222"/>
      <c r="E156" s="222"/>
      <c r="F156" s="222"/>
      <c r="G156" s="222"/>
      <c r="H156" s="223"/>
      <c r="I156" s="222"/>
      <c r="J156" s="222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179"/>
    </row>
    <row r="157" spans="1:22">
      <c r="A157" s="221"/>
      <c r="B157" s="221"/>
      <c r="C157" s="222"/>
      <c r="D157" s="222"/>
      <c r="E157" s="222"/>
      <c r="F157" s="222"/>
      <c r="G157" s="222"/>
      <c r="H157" s="223"/>
      <c r="I157" s="222"/>
      <c r="J157" s="222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179"/>
    </row>
    <row r="158" spans="1:22">
      <c r="A158" s="221"/>
      <c r="B158" s="221"/>
      <c r="C158" s="222"/>
      <c r="D158" s="222"/>
      <c r="E158" s="222"/>
      <c r="F158" s="222"/>
      <c r="G158" s="222"/>
      <c r="H158" s="223"/>
      <c r="I158" s="222"/>
      <c r="J158" s="222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179"/>
    </row>
    <row r="159" spans="1:22">
      <c r="A159" s="221"/>
      <c r="B159" s="221"/>
      <c r="C159" s="222"/>
      <c r="D159" s="222"/>
      <c r="E159" s="222"/>
      <c r="F159" s="222"/>
      <c r="G159" s="222"/>
      <c r="H159" s="223"/>
      <c r="I159" s="222"/>
      <c r="J159" s="222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179"/>
    </row>
    <row r="160" spans="1:22">
      <c r="A160" s="221"/>
      <c r="B160" s="221"/>
      <c r="C160" s="222"/>
      <c r="D160" s="222"/>
      <c r="E160" s="222"/>
      <c r="F160" s="222"/>
      <c r="G160" s="222"/>
      <c r="H160" s="223"/>
      <c r="I160" s="222"/>
      <c r="J160" s="222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179"/>
    </row>
    <row r="161" spans="1:22">
      <c r="A161" s="221"/>
      <c r="B161" s="221"/>
      <c r="C161" s="222"/>
      <c r="D161" s="222"/>
      <c r="E161" s="222"/>
      <c r="F161" s="222"/>
      <c r="G161" s="222"/>
      <c r="H161" s="223"/>
      <c r="I161" s="222"/>
      <c r="J161" s="222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179"/>
    </row>
    <row r="162" spans="1:22">
      <c r="A162" s="221"/>
      <c r="B162" s="221"/>
      <c r="C162" s="222"/>
      <c r="D162" s="222"/>
      <c r="E162" s="222"/>
      <c r="F162" s="222"/>
      <c r="G162" s="222"/>
      <c r="H162" s="223"/>
      <c r="I162" s="222"/>
      <c r="J162" s="222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179"/>
    </row>
    <row r="163" spans="1:22">
      <c r="A163" s="221"/>
      <c r="B163" s="221"/>
      <c r="C163" s="222"/>
      <c r="D163" s="222"/>
      <c r="E163" s="222"/>
      <c r="F163" s="222"/>
      <c r="G163" s="222"/>
      <c r="H163" s="223"/>
      <c r="I163" s="222"/>
      <c r="J163" s="222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179"/>
    </row>
    <row r="164" spans="1:22">
      <c r="A164" s="221"/>
      <c r="B164" s="221"/>
      <c r="C164" s="222"/>
      <c r="D164" s="222"/>
      <c r="E164" s="222"/>
      <c r="F164" s="222"/>
      <c r="G164" s="222"/>
      <c r="H164" s="223"/>
      <c r="I164" s="222"/>
      <c r="J164" s="222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179"/>
    </row>
    <row r="165" spans="1:22">
      <c r="A165" s="221"/>
      <c r="B165" s="221"/>
      <c r="C165" s="222"/>
      <c r="D165" s="222"/>
      <c r="E165" s="222"/>
      <c r="F165" s="222"/>
      <c r="G165" s="222"/>
      <c r="H165" s="223"/>
      <c r="I165" s="222"/>
      <c r="J165" s="222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179"/>
    </row>
    <row r="166" spans="1:22">
      <c r="A166" s="221"/>
      <c r="B166" s="221"/>
      <c r="C166" s="222"/>
      <c r="D166" s="222"/>
      <c r="E166" s="222"/>
      <c r="F166" s="222"/>
      <c r="G166" s="222"/>
      <c r="H166" s="223"/>
      <c r="I166" s="222"/>
      <c r="J166" s="222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179"/>
    </row>
    <row r="167" spans="1:22">
      <c r="A167" s="221"/>
      <c r="B167" s="221"/>
      <c r="C167" s="222"/>
      <c r="D167" s="222"/>
      <c r="E167" s="222"/>
      <c r="F167" s="222"/>
      <c r="G167" s="222"/>
      <c r="H167" s="223"/>
      <c r="I167" s="222"/>
      <c r="J167" s="222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179"/>
    </row>
    <row r="168" spans="1:22">
      <c r="A168" s="221"/>
      <c r="B168" s="221"/>
      <c r="C168" s="222"/>
      <c r="D168" s="222"/>
      <c r="E168" s="222"/>
      <c r="F168" s="222"/>
      <c r="G168" s="222"/>
      <c r="H168" s="223"/>
      <c r="I168" s="222"/>
      <c r="J168" s="222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179"/>
    </row>
    <row r="169" spans="1:22">
      <c r="A169" s="221"/>
      <c r="B169" s="221"/>
      <c r="C169" s="222"/>
      <c r="D169" s="222"/>
      <c r="E169" s="222"/>
      <c r="F169" s="222"/>
      <c r="G169" s="222"/>
      <c r="H169" s="223"/>
      <c r="I169" s="222"/>
      <c r="J169" s="222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179"/>
    </row>
    <row r="170" spans="1:22">
      <c r="A170" s="221"/>
      <c r="B170" s="221"/>
      <c r="C170" s="222"/>
      <c r="D170" s="222"/>
      <c r="E170" s="222"/>
      <c r="F170" s="222"/>
      <c r="G170" s="222"/>
      <c r="H170" s="223"/>
      <c r="I170" s="222"/>
      <c r="J170" s="222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179"/>
    </row>
    <row r="171" spans="1:22">
      <c r="A171" s="221"/>
      <c r="B171" s="221"/>
      <c r="C171" s="222"/>
      <c r="D171" s="222"/>
      <c r="E171" s="222"/>
      <c r="F171" s="222"/>
      <c r="G171" s="222"/>
      <c r="H171" s="223"/>
      <c r="I171" s="222"/>
      <c r="J171" s="222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179"/>
    </row>
    <row r="172" spans="1:22">
      <c r="A172" s="221"/>
      <c r="B172" s="221"/>
      <c r="C172" s="222"/>
      <c r="D172" s="222"/>
      <c r="E172" s="222"/>
      <c r="F172" s="222"/>
      <c r="G172" s="222"/>
      <c r="H172" s="223"/>
      <c r="I172" s="222"/>
      <c r="J172" s="222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179"/>
    </row>
    <row r="173" spans="1:22">
      <c r="A173" s="221"/>
      <c r="B173" s="221"/>
      <c r="C173" s="222"/>
      <c r="D173" s="222"/>
      <c r="E173" s="222"/>
      <c r="F173" s="222"/>
      <c r="G173" s="222"/>
      <c r="H173" s="223"/>
      <c r="I173" s="222"/>
      <c r="J173" s="222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179"/>
    </row>
    <row r="174" spans="1:22">
      <c r="A174" s="221"/>
      <c r="B174" s="221"/>
      <c r="C174" s="222"/>
      <c r="D174" s="222"/>
      <c r="E174" s="222"/>
      <c r="F174" s="222"/>
      <c r="G174" s="222"/>
      <c r="H174" s="223"/>
      <c r="I174" s="222"/>
      <c r="J174" s="222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179"/>
    </row>
    <row r="175" spans="1:22">
      <c r="A175" s="221"/>
      <c r="B175" s="221"/>
      <c r="C175" s="222"/>
      <c r="D175" s="222"/>
      <c r="E175" s="222"/>
      <c r="F175" s="222"/>
      <c r="G175" s="222"/>
      <c r="H175" s="223"/>
      <c r="I175" s="222"/>
      <c r="J175" s="222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179"/>
    </row>
    <row r="176" spans="1:22">
      <c r="A176" s="221"/>
      <c r="B176" s="221"/>
      <c r="C176" s="222"/>
      <c r="D176" s="222"/>
      <c r="E176" s="222"/>
      <c r="F176" s="222"/>
      <c r="G176" s="222"/>
      <c r="H176" s="223"/>
      <c r="I176" s="222"/>
      <c r="J176" s="222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179"/>
    </row>
    <row r="177" spans="1:22">
      <c r="A177" s="221"/>
      <c r="B177" s="221"/>
      <c r="C177" s="222"/>
      <c r="D177" s="222"/>
      <c r="E177" s="222"/>
      <c r="F177" s="222"/>
      <c r="G177" s="222"/>
      <c r="H177" s="223"/>
      <c r="I177" s="222"/>
      <c r="J177" s="222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179"/>
    </row>
    <row r="178" spans="1:22">
      <c r="A178" s="221"/>
      <c r="B178" s="221"/>
      <c r="C178" s="222"/>
      <c r="D178" s="222"/>
      <c r="E178" s="222"/>
      <c r="F178" s="222"/>
      <c r="G178" s="222"/>
      <c r="H178" s="223"/>
      <c r="I178" s="222"/>
      <c r="J178" s="222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179"/>
    </row>
    <row r="179" spans="1:22">
      <c r="A179" s="221"/>
      <c r="B179" s="221"/>
      <c r="C179" s="222"/>
      <c r="D179" s="222"/>
      <c r="E179" s="222"/>
      <c r="F179" s="222"/>
      <c r="G179" s="222"/>
      <c r="H179" s="223"/>
      <c r="I179" s="222"/>
      <c r="J179" s="222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179"/>
    </row>
    <row r="180" spans="1:22">
      <c r="A180" s="221"/>
      <c r="B180" s="221"/>
      <c r="C180" s="222"/>
      <c r="D180" s="222"/>
      <c r="E180" s="222"/>
      <c r="F180" s="222"/>
      <c r="G180" s="222"/>
      <c r="H180" s="223"/>
      <c r="I180" s="222"/>
      <c r="J180" s="222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179"/>
    </row>
    <row r="181" spans="1:22">
      <c r="A181" s="221"/>
      <c r="B181" s="221"/>
      <c r="C181" s="222"/>
      <c r="D181" s="222"/>
      <c r="E181" s="222"/>
      <c r="F181" s="222"/>
      <c r="G181" s="222"/>
      <c r="H181" s="223"/>
      <c r="I181" s="222"/>
      <c r="J181" s="222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179"/>
    </row>
    <row r="182" spans="1:22">
      <c r="A182" s="221"/>
      <c r="B182" s="221"/>
      <c r="C182" s="222"/>
      <c r="D182" s="222"/>
      <c r="E182" s="222"/>
      <c r="F182" s="222"/>
      <c r="G182" s="222"/>
      <c r="H182" s="223"/>
      <c r="I182" s="222"/>
      <c r="J182" s="222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179"/>
    </row>
    <row r="183" spans="1:22">
      <c r="A183" s="221"/>
      <c r="B183" s="221"/>
      <c r="C183" s="222"/>
      <c r="D183" s="222"/>
      <c r="E183" s="222"/>
      <c r="F183" s="222"/>
      <c r="G183" s="222"/>
      <c r="H183" s="223"/>
      <c r="I183" s="222"/>
      <c r="J183" s="222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179"/>
    </row>
    <row r="184" spans="1:22">
      <c r="A184" s="221"/>
      <c r="B184" s="221"/>
      <c r="C184" s="222"/>
      <c r="D184" s="222"/>
      <c r="E184" s="222"/>
      <c r="F184" s="222"/>
      <c r="G184" s="222"/>
      <c r="H184" s="223"/>
      <c r="I184" s="222"/>
      <c r="J184" s="222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179"/>
    </row>
    <row r="185" spans="1:22">
      <c r="A185" s="221"/>
      <c r="B185" s="221"/>
      <c r="C185" s="222"/>
      <c r="D185" s="222"/>
      <c r="E185" s="222"/>
      <c r="F185" s="222"/>
      <c r="G185" s="222"/>
      <c r="H185" s="223"/>
      <c r="I185" s="222"/>
      <c r="J185" s="222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179"/>
    </row>
    <row r="186" spans="1:22">
      <c r="A186" s="221"/>
      <c r="B186" s="221"/>
      <c r="C186" s="222"/>
      <c r="D186" s="222"/>
      <c r="E186" s="222"/>
      <c r="F186" s="222"/>
      <c r="G186" s="222"/>
      <c r="H186" s="223"/>
      <c r="I186" s="222"/>
      <c r="J186" s="222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179"/>
    </row>
    <row r="187" spans="1:22">
      <c r="A187" s="221"/>
      <c r="B187" s="221"/>
      <c r="C187" s="222"/>
      <c r="D187" s="222"/>
      <c r="E187" s="222"/>
      <c r="F187" s="222"/>
      <c r="G187" s="222"/>
      <c r="H187" s="223"/>
      <c r="I187" s="222"/>
      <c r="J187" s="222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179"/>
    </row>
    <row r="188" spans="1:22">
      <c r="A188" s="221"/>
      <c r="B188" s="221"/>
      <c r="C188" s="222"/>
      <c r="D188" s="222"/>
      <c r="E188" s="222"/>
      <c r="F188" s="222"/>
      <c r="G188" s="222"/>
      <c r="H188" s="223"/>
      <c r="I188" s="222"/>
      <c r="J188" s="222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179"/>
    </row>
    <row r="189" spans="1:22">
      <c r="A189" s="221"/>
      <c r="B189" s="221"/>
      <c r="C189" s="222"/>
      <c r="D189" s="222"/>
      <c r="E189" s="222"/>
      <c r="F189" s="222"/>
      <c r="G189" s="222"/>
      <c r="H189" s="223"/>
      <c r="I189" s="222"/>
      <c r="J189" s="222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179"/>
    </row>
    <row r="190" spans="1:22">
      <c r="A190" s="221"/>
      <c r="B190" s="221"/>
      <c r="C190" s="222"/>
      <c r="D190" s="222"/>
      <c r="E190" s="222"/>
      <c r="F190" s="222"/>
      <c r="G190" s="222"/>
      <c r="H190" s="223"/>
      <c r="I190" s="222"/>
      <c r="J190" s="222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179"/>
    </row>
    <row r="191" spans="1:22">
      <c r="A191" s="221"/>
      <c r="B191" s="221"/>
      <c r="C191" s="222"/>
      <c r="D191" s="222"/>
      <c r="E191" s="222"/>
      <c r="F191" s="222"/>
      <c r="G191" s="222"/>
      <c r="H191" s="223"/>
      <c r="I191" s="222"/>
      <c r="J191" s="222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179"/>
    </row>
    <row r="192" spans="1:22">
      <c r="A192" s="221"/>
      <c r="B192" s="221"/>
      <c r="C192" s="222"/>
      <c r="D192" s="222"/>
      <c r="E192" s="222"/>
      <c r="F192" s="222"/>
      <c r="G192" s="222"/>
      <c r="H192" s="223"/>
      <c r="I192" s="222"/>
      <c r="J192" s="222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179"/>
    </row>
    <row r="193" spans="1:22">
      <c r="A193" s="221"/>
      <c r="B193" s="221"/>
      <c r="C193" s="222"/>
      <c r="D193" s="222"/>
      <c r="E193" s="222"/>
      <c r="F193" s="222"/>
      <c r="G193" s="222"/>
      <c r="H193" s="223"/>
      <c r="I193" s="222"/>
      <c r="J193" s="222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179"/>
    </row>
    <row r="194" spans="1:22">
      <c r="A194" s="221"/>
      <c r="B194" s="221"/>
      <c r="C194" s="222"/>
      <c r="D194" s="222"/>
      <c r="E194" s="222"/>
      <c r="F194" s="222"/>
      <c r="G194" s="222"/>
      <c r="H194" s="223"/>
      <c r="I194" s="222"/>
      <c r="J194" s="222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179"/>
    </row>
    <row r="195" spans="1:22">
      <c r="A195" s="221"/>
      <c r="B195" s="221"/>
      <c r="C195" s="222"/>
      <c r="D195" s="222"/>
      <c r="E195" s="222"/>
      <c r="F195" s="222"/>
      <c r="G195" s="222"/>
      <c r="H195" s="223"/>
      <c r="I195" s="222"/>
      <c r="J195" s="222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179"/>
    </row>
    <row r="196" spans="1:22">
      <c r="A196" s="221"/>
      <c r="B196" s="221"/>
      <c r="C196" s="222"/>
      <c r="D196" s="222"/>
      <c r="E196" s="222"/>
      <c r="F196" s="222"/>
      <c r="G196" s="222"/>
      <c r="H196" s="223"/>
      <c r="I196" s="222"/>
      <c r="J196" s="222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179"/>
    </row>
    <row r="197" spans="1:22">
      <c r="A197" s="221"/>
      <c r="B197" s="221"/>
      <c r="C197" s="222"/>
      <c r="D197" s="222"/>
      <c r="E197" s="222"/>
      <c r="F197" s="222"/>
      <c r="G197" s="222"/>
      <c r="H197" s="223"/>
      <c r="I197" s="222"/>
      <c r="J197" s="222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179"/>
    </row>
    <row r="198" spans="1:22">
      <c r="A198" s="221"/>
      <c r="B198" s="221"/>
      <c r="C198" s="222"/>
      <c r="D198" s="222"/>
      <c r="E198" s="222"/>
      <c r="F198" s="222"/>
      <c r="G198" s="222"/>
      <c r="H198" s="223"/>
      <c r="I198" s="222"/>
      <c r="J198" s="222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179"/>
    </row>
    <row r="199" spans="1:22">
      <c r="A199" s="221"/>
      <c r="B199" s="221"/>
      <c r="C199" s="222"/>
      <c r="D199" s="222"/>
      <c r="E199" s="222"/>
      <c r="F199" s="222"/>
      <c r="G199" s="222"/>
      <c r="H199" s="223"/>
      <c r="I199" s="222"/>
      <c r="J199" s="222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179"/>
    </row>
    <row r="200" spans="1:22">
      <c r="A200" s="221"/>
      <c r="B200" s="221"/>
      <c r="C200" s="222"/>
      <c r="D200" s="222"/>
      <c r="E200" s="222"/>
      <c r="F200" s="222"/>
      <c r="G200" s="222"/>
      <c r="H200" s="223"/>
      <c r="I200" s="222"/>
      <c r="J200" s="222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179"/>
    </row>
    <row r="201" spans="1:22">
      <c r="A201" s="221"/>
      <c r="B201" s="221"/>
      <c r="C201" s="222"/>
      <c r="D201" s="222"/>
      <c r="E201" s="222"/>
      <c r="F201" s="222"/>
      <c r="G201" s="222"/>
      <c r="H201" s="223"/>
      <c r="I201" s="222"/>
      <c r="J201" s="222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179"/>
    </row>
    <row r="202" spans="1:22">
      <c r="A202" s="221"/>
      <c r="B202" s="221"/>
      <c r="C202" s="222"/>
      <c r="D202" s="222"/>
      <c r="E202" s="222"/>
      <c r="F202" s="222"/>
      <c r="G202" s="222"/>
      <c r="H202" s="223"/>
      <c r="I202" s="222"/>
      <c r="J202" s="222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179"/>
    </row>
    <row r="203" spans="1:22">
      <c r="A203" s="221"/>
      <c r="B203" s="221"/>
      <c r="C203" s="222"/>
      <c r="D203" s="222"/>
      <c r="E203" s="222"/>
      <c r="F203" s="222"/>
      <c r="G203" s="222"/>
      <c r="H203" s="223"/>
      <c r="I203" s="222"/>
      <c r="J203" s="222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179"/>
    </row>
    <row r="204" spans="1:22">
      <c r="A204" s="221"/>
      <c r="B204" s="221"/>
      <c r="C204" s="222"/>
      <c r="D204" s="222"/>
      <c r="E204" s="222"/>
      <c r="F204" s="222"/>
      <c r="G204" s="222"/>
      <c r="H204" s="223"/>
      <c r="I204" s="222"/>
      <c r="J204" s="222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179"/>
    </row>
    <row r="205" spans="1:22">
      <c r="A205" s="221"/>
      <c r="B205" s="221"/>
      <c r="C205" s="222"/>
      <c r="D205" s="222"/>
      <c r="E205" s="222"/>
      <c r="F205" s="222"/>
      <c r="G205" s="222"/>
      <c r="H205" s="223"/>
      <c r="I205" s="222"/>
      <c r="J205" s="222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179"/>
    </row>
    <row r="206" spans="1:22">
      <c r="A206" s="221"/>
      <c r="B206" s="221"/>
      <c r="C206" s="222"/>
      <c r="D206" s="222"/>
      <c r="E206" s="222"/>
      <c r="F206" s="222"/>
      <c r="G206" s="222"/>
      <c r="H206" s="223"/>
      <c r="I206" s="222"/>
      <c r="J206" s="222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179"/>
    </row>
    <row r="207" spans="1:22">
      <c r="A207" s="221"/>
      <c r="B207" s="221"/>
      <c r="C207" s="222"/>
      <c r="D207" s="222"/>
      <c r="E207" s="222"/>
      <c r="F207" s="222"/>
      <c r="G207" s="222"/>
      <c r="H207" s="223"/>
      <c r="I207" s="222"/>
      <c r="J207" s="222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179"/>
    </row>
    <row r="208" spans="1:22">
      <c r="A208" s="221"/>
      <c r="B208" s="221"/>
      <c r="C208" s="222"/>
      <c r="D208" s="222"/>
      <c r="E208" s="222"/>
      <c r="F208" s="222"/>
      <c r="G208" s="222"/>
      <c r="H208" s="223"/>
      <c r="I208" s="222"/>
      <c r="J208" s="222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179"/>
    </row>
    <row r="209" spans="1:22">
      <c r="A209" s="221"/>
      <c r="B209" s="221"/>
      <c r="C209" s="222"/>
      <c r="D209" s="222"/>
      <c r="E209" s="222"/>
      <c r="F209" s="222"/>
      <c r="G209" s="222"/>
      <c r="H209" s="223"/>
      <c r="I209" s="222"/>
      <c r="J209" s="222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179"/>
    </row>
    <row r="210" spans="1:22">
      <c r="A210" s="221"/>
      <c r="B210" s="221"/>
      <c r="C210" s="222"/>
      <c r="D210" s="222"/>
      <c r="E210" s="222"/>
      <c r="F210" s="222"/>
      <c r="G210" s="222"/>
      <c r="H210" s="223"/>
      <c r="I210" s="222"/>
      <c r="J210" s="222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179"/>
    </row>
    <row r="211" spans="1:22">
      <c r="A211" s="221"/>
      <c r="B211" s="221"/>
      <c r="C211" s="222"/>
      <c r="D211" s="222"/>
      <c r="E211" s="222"/>
      <c r="F211" s="222"/>
      <c r="G211" s="222"/>
      <c r="H211" s="223"/>
      <c r="I211" s="222"/>
      <c r="J211" s="222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179"/>
    </row>
    <row r="212" spans="1:22">
      <c r="A212" s="221"/>
      <c r="B212" s="221"/>
      <c r="C212" s="222"/>
      <c r="D212" s="222"/>
      <c r="E212" s="222"/>
      <c r="F212" s="222"/>
      <c r="G212" s="222"/>
      <c r="H212" s="223"/>
      <c r="I212" s="222"/>
      <c r="J212" s="222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179"/>
    </row>
    <row r="213" spans="1:22">
      <c r="A213" s="221"/>
      <c r="B213" s="221"/>
      <c r="C213" s="222"/>
      <c r="D213" s="222"/>
      <c r="E213" s="222"/>
      <c r="F213" s="222"/>
      <c r="G213" s="222"/>
      <c r="H213" s="223"/>
      <c r="I213" s="222"/>
      <c r="J213" s="222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179"/>
    </row>
    <row r="214" spans="1:22">
      <c r="A214" s="221"/>
      <c r="B214" s="221"/>
      <c r="C214" s="222"/>
      <c r="D214" s="222"/>
      <c r="E214" s="222"/>
      <c r="F214" s="222"/>
      <c r="G214" s="222"/>
      <c r="H214" s="223"/>
      <c r="I214" s="222"/>
      <c r="J214" s="222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179"/>
    </row>
    <row r="215" spans="1:22">
      <c r="A215" s="221"/>
      <c r="B215" s="221"/>
      <c r="C215" s="222"/>
      <c r="D215" s="222"/>
      <c r="E215" s="222"/>
      <c r="F215" s="222"/>
      <c r="G215" s="222"/>
      <c r="H215" s="223"/>
      <c r="I215" s="222"/>
      <c r="J215" s="222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179"/>
    </row>
    <row r="216" spans="1:22">
      <c r="A216" s="221"/>
      <c r="B216" s="221"/>
      <c r="C216" s="222"/>
      <c r="D216" s="222"/>
      <c r="E216" s="222"/>
      <c r="F216" s="222"/>
      <c r="G216" s="222"/>
      <c r="H216" s="223"/>
      <c r="I216" s="222"/>
      <c r="J216" s="222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179"/>
    </row>
    <row r="217" spans="1:22">
      <c r="A217" s="221"/>
      <c r="B217" s="221"/>
      <c r="C217" s="222"/>
      <c r="D217" s="222"/>
      <c r="E217" s="222"/>
      <c r="F217" s="222"/>
      <c r="G217" s="222"/>
      <c r="H217" s="223"/>
      <c r="I217" s="222"/>
      <c r="J217" s="222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179"/>
    </row>
    <row r="218" spans="1:22">
      <c r="A218" s="221"/>
      <c r="B218" s="221"/>
      <c r="C218" s="222"/>
      <c r="D218" s="222"/>
      <c r="E218" s="222"/>
      <c r="F218" s="222"/>
      <c r="G218" s="222"/>
      <c r="H218" s="223"/>
      <c r="I218" s="222"/>
      <c r="J218" s="222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179"/>
    </row>
    <row r="219" spans="1:22">
      <c r="A219" s="221"/>
      <c r="B219" s="221"/>
      <c r="C219" s="222"/>
      <c r="D219" s="222"/>
      <c r="E219" s="222"/>
      <c r="F219" s="222"/>
      <c r="G219" s="222"/>
      <c r="H219" s="223"/>
      <c r="I219" s="222"/>
      <c r="J219" s="222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179"/>
    </row>
    <row r="220" spans="1:22">
      <c r="A220" s="221"/>
      <c r="B220" s="221"/>
      <c r="C220" s="222"/>
      <c r="D220" s="222"/>
      <c r="E220" s="222"/>
      <c r="F220" s="222"/>
      <c r="G220" s="222"/>
      <c r="H220" s="223"/>
      <c r="I220" s="222"/>
      <c r="J220" s="222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179"/>
    </row>
    <row r="221" spans="1:22">
      <c r="A221" s="221"/>
      <c r="B221" s="221"/>
      <c r="C221" s="222"/>
      <c r="D221" s="222"/>
      <c r="E221" s="222"/>
      <c r="F221" s="222"/>
      <c r="G221" s="222"/>
      <c r="H221" s="223"/>
      <c r="I221" s="222"/>
      <c r="J221" s="222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179"/>
    </row>
    <row r="222" spans="1:22">
      <c r="A222" s="221"/>
      <c r="B222" s="221"/>
      <c r="C222" s="222"/>
      <c r="D222" s="222"/>
      <c r="E222" s="222"/>
      <c r="F222" s="222"/>
      <c r="G222" s="222"/>
      <c r="H222" s="223"/>
      <c r="I222" s="222"/>
      <c r="J222" s="222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179"/>
    </row>
    <row r="223" spans="1:22">
      <c r="A223" s="221"/>
      <c r="B223" s="221"/>
      <c r="C223" s="222"/>
      <c r="D223" s="222"/>
      <c r="E223" s="222"/>
      <c r="F223" s="222"/>
      <c r="G223" s="222"/>
      <c r="H223" s="223"/>
      <c r="I223" s="222"/>
      <c r="J223" s="222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179"/>
    </row>
    <row r="224" spans="1:22">
      <c r="A224" s="221"/>
      <c r="B224" s="221"/>
      <c r="C224" s="222"/>
      <c r="D224" s="222"/>
      <c r="E224" s="222"/>
      <c r="F224" s="222"/>
      <c r="G224" s="222"/>
      <c r="H224" s="223"/>
      <c r="I224" s="222"/>
      <c r="J224" s="222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179"/>
    </row>
    <row r="225" spans="1:22">
      <c r="A225" s="221"/>
      <c r="B225" s="221"/>
      <c r="C225" s="222"/>
      <c r="D225" s="222"/>
      <c r="E225" s="222"/>
      <c r="F225" s="222"/>
      <c r="G225" s="222"/>
      <c r="H225" s="223"/>
      <c r="I225" s="222"/>
      <c r="J225" s="222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179"/>
    </row>
    <row r="226" spans="1:22">
      <c r="A226" s="221"/>
      <c r="B226" s="221"/>
      <c r="C226" s="222"/>
      <c r="D226" s="222"/>
      <c r="E226" s="222"/>
      <c r="F226" s="222"/>
      <c r="G226" s="222"/>
      <c r="H226" s="223"/>
      <c r="I226" s="222"/>
      <c r="J226" s="222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179"/>
    </row>
    <row r="227" spans="1:22">
      <c r="A227" s="221"/>
      <c r="B227" s="221"/>
      <c r="C227" s="222"/>
      <c r="D227" s="222"/>
      <c r="E227" s="222"/>
      <c r="F227" s="222"/>
      <c r="G227" s="222"/>
      <c r="H227" s="223"/>
      <c r="I227" s="222"/>
      <c r="J227" s="222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179"/>
    </row>
    <row r="228" spans="1:22">
      <c r="A228" s="221"/>
      <c r="B228" s="221"/>
      <c r="C228" s="222"/>
      <c r="D228" s="222"/>
      <c r="E228" s="222"/>
      <c r="F228" s="222"/>
      <c r="G228" s="222"/>
      <c r="H228" s="223"/>
      <c r="I228" s="222"/>
      <c r="J228" s="222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179"/>
    </row>
    <row r="229" spans="1:22">
      <c r="A229" s="221"/>
      <c r="B229" s="221"/>
      <c r="C229" s="222"/>
      <c r="D229" s="222"/>
      <c r="E229" s="222"/>
      <c r="F229" s="222"/>
      <c r="G229" s="222"/>
      <c r="H229" s="223"/>
      <c r="I229" s="222"/>
      <c r="J229" s="222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179"/>
    </row>
    <row r="230" spans="1:22">
      <c r="A230" s="221"/>
      <c r="B230" s="221"/>
      <c r="C230" s="222"/>
      <c r="D230" s="222"/>
      <c r="E230" s="222"/>
      <c r="F230" s="222"/>
      <c r="G230" s="222"/>
      <c r="H230" s="223"/>
      <c r="I230" s="222"/>
      <c r="J230" s="222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179"/>
    </row>
    <row r="231" spans="1:22">
      <c r="A231" s="221"/>
      <c r="B231" s="221"/>
      <c r="C231" s="222"/>
      <c r="D231" s="222"/>
      <c r="E231" s="222"/>
      <c r="F231" s="222"/>
      <c r="G231" s="222"/>
      <c r="H231" s="223"/>
      <c r="I231" s="222"/>
      <c r="J231" s="222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179"/>
    </row>
    <row r="232" spans="1:22">
      <c r="A232" s="221"/>
      <c r="B232" s="221"/>
      <c r="C232" s="222"/>
      <c r="D232" s="222"/>
      <c r="E232" s="222"/>
      <c r="F232" s="222"/>
      <c r="G232" s="222"/>
      <c r="H232" s="223"/>
      <c r="I232" s="222"/>
      <c r="J232" s="222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179"/>
    </row>
    <row r="233" spans="1:22">
      <c r="A233" s="221"/>
      <c r="B233" s="221"/>
      <c r="C233" s="222"/>
      <c r="D233" s="222"/>
      <c r="E233" s="222"/>
      <c r="F233" s="222"/>
      <c r="G233" s="222"/>
      <c r="H233" s="223"/>
      <c r="I233" s="222"/>
      <c r="J233" s="222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179"/>
    </row>
    <row r="234" spans="1:22">
      <c r="A234" s="221"/>
      <c r="B234" s="221"/>
      <c r="C234" s="222"/>
      <c r="D234" s="222"/>
      <c r="E234" s="222"/>
      <c r="F234" s="222"/>
      <c r="G234" s="222"/>
      <c r="H234" s="223"/>
      <c r="I234" s="222"/>
      <c r="J234" s="222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179"/>
    </row>
    <row r="235" spans="1:22">
      <c r="A235" s="221"/>
      <c r="B235" s="221"/>
      <c r="C235" s="222"/>
      <c r="D235" s="222"/>
      <c r="E235" s="222"/>
      <c r="F235" s="222"/>
      <c r="G235" s="222"/>
      <c r="H235" s="223"/>
      <c r="I235" s="222"/>
      <c r="J235" s="222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179"/>
    </row>
    <row r="236" spans="1:22">
      <c r="A236" s="221"/>
      <c r="B236" s="221"/>
      <c r="C236" s="222"/>
      <c r="D236" s="222"/>
      <c r="E236" s="222"/>
      <c r="F236" s="222"/>
      <c r="G236" s="222"/>
      <c r="H236" s="223"/>
      <c r="I236" s="222"/>
      <c r="J236" s="222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179"/>
    </row>
    <row r="237" spans="1:22">
      <c r="A237" s="221"/>
      <c r="B237" s="221"/>
      <c r="C237" s="222"/>
      <c r="D237" s="222"/>
      <c r="E237" s="222"/>
      <c r="F237" s="222"/>
      <c r="G237" s="222"/>
      <c r="H237" s="223"/>
      <c r="I237" s="222"/>
      <c r="J237" s="222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179"/>
    </row>
    <row r="238" spans="1:22">
      <c r="A238" s="221"/>
      <c r="B238" s="221"/>
      <c r="C238" s="222"/>
      <c r="D238" s="222"/>
      <c r="E238" s="222"/>
      <c r="F238" s="222"/>
      <c r="G238" s="222"/>
      <c r="H238" s="223"/>
      <c r="I238" s="222"/>
      <c r="J238" s="222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179"/>
    </row>
    <row r="239" spans="1:22">
      <c r="A239" s="221"/>
      <c r="B239" s="221"/>
      <c r="C239" s="222"/>
      <c r="D239" s="222"/>
      <c r="E239" s="222"/>
      <c r="F239" s="222"/>
      <c r="G239" s="222"/>
      <c r="H239" s="223"/>
      <c r="I239" s="222"/>
      <c r="J239" s="222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179"/>
    </row>
    <row r="240" spans="1:22">
      <c r="A240" s="221"/>
      <c r="B240" s="221"/>
      <c r="C240" s="222"/>
      <c r="D240" s="222"/>
      <c r="E240" s="222"/>
      <c r="F240" s="222"/>
      <c r="G240" s="222"/>
      <c r="H240" s="223"/>
      <c r="I240" s="222"/>
      <c r="J240" s="222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179"/>
    </row>
    <row r="241" spans="1:22">
      <c r="A241" s="221"/>
      <c r="B241" s="221"/>
      <c r="C241" s="222"/>
      <c r="D241" s="222"/>
      <c r="E241" s="222"/>
      <c r="F241" s="222"/>
      <c r="G241" s="222"/>
      <c r="H241" s="223"/>
      <c r="I241" s="222"/>
      <c r="J241" s="222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179"/>
    </row>
    <row r="242" spans="1:22">
      <c r="A242" s="221"/>
      <c r="B242" s="221"/>
      <c r="C242" s="222"/>
      <c r="D242" s="222"/>
      <c r="E242" s="222"/>
      <c r="F242" s="222"/>
      <c r="G242" s="222"/>
      <c r="H242" s="223"/>
      <c r="I242" s="222"/>
      <c r="J242" s="222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179"/>
    </row>
    <row r="243" spans="1:22">
      <c r="A243" s="221"/>
      <c r="B243" s="221"/>
      <c r="C243" s="222"/>
      <c r="D243" s="222"/>
      <c r="E243" s="222"/>
      <c r="F243" s="222"/>
      <c r="G243" s="222"/>
      <c r="H243" s="223"/>
      <c r="I243" s="222"/>
      <c r="J243" s="222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179"/>
    </row>
    <row r="244" spans="1:22">
      <c r="A244" s="221"/>
      <c r="B244" s="221"/>
      <c r="C244" s="222"/>
      <c r="D244" s="222"/>
      <c r="E244" s="222"/>
      <c r="F244" s="222"/>
      <c r="G244" s="222"/>
      <c r="H244" s="223"/>
      <c r="I244" s="222"/>
      <c r="J244" s="222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179"/>
    </row>
    <row r="245" spans="1:22">
      <c r="A245" s="221"/>
      <c r="B245" s="221"/>
      <c r="C245" s="222"/>
      <c r="D245" s="222"/>
      <c r="E245" s="222"/>
      <c r="F245" s="222"/>
      <c r="G245" s="222"/>
      <c r="H245" s="223"/>
      <c r="I245" s="222"/>
      <c r="J245" s="222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179"/>
    </row>
    <row r="246" spans="1:22">
      <c r="A246" s="221"/>
      <c r="B246" s="221"/>
      <c r="C246" s="222"/>
      <c r="D246" s="222"/>
      <c r="E246" s="222"/>
      <c r="F246" s="222"/>
      <c r="G246" s="222"/>
      <c r="H246" s="223"/>
      <c r="I246" s="222"/>
      <c r="J246" s="222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179"/>
    </row>
    <row r="247" spans="1:22">
      <c r="A247" s="221"/>
      <c r="B247" s="221"/>
      <c r="C247" s="222"/>
      <c r="D247" s="222"/>
      <c r="E247" s="222"/>
      <c r="F247" s="222"/>
      <c r="G247" s="222"/>
      <c r="H247" s="223"/>
      <c r="I247" s="222"/>
      <c r="J247" s="222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179"/>
    </row>
    <row r="248" spans="1:22">
      <c r="A248" s="221"/>
      <c r="B248" s="221"/>
      <c r="C248" s="222"/>
      <c r="D248" s="222"/>
      <c r="E248" s="222"/>
      <c r="F248" s="222"/>
      <c r="G248" s="222"/>
      <c r="H248" s="223"/>
      <c r="I248" s="222"/>
      <c r="J248" s="222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179"/>
    </row>
    <row r="249" spans="1:22">
      <c r="A249" s="221"/>
      <c r="B249" s="221"/>
      <c r="C249" s="222"/>
      <c r="D249" s="222"/>
      <c r="E249" s="222"/>
      <c r="F249" s="222"/>
      <c r="G249" s="222"/>
      <c r="H249" s="223"/>
      <c r="I249" s="222"/>
      <c r="J249" s="222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179"/>
    </row>
    <row r="250" spans="1:22">
      <c r="A250" s="221"/>
      <c r="B250" s="221"/>
      <c r="C250" s="222"/>
      <c r="D250" s="222"/>
      <c r="E250" s="222"/>
      <c r="F250" s="222"/>
      <c r="G250" s="222"/>
      <c r="H250" s="223"/>
      <c r="I250" s="222"/>
      <c r="J250" s="222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179"/>
    </row>
    <row r="251" spans="1:22">
      <c r="A251" s="221"/>
      <c r="B251" s="221"/>
      <c r="C251" s="222"/>
      <c r="D251" s="222"/>
      <c r="E251" s="222"/>
      <c r="F251" s="222"/>
      <c r="G251" s="222"/>
      <c r="H251" s="223"/>
      <c r="I251" s="222"/>
      <c r="J251" s="222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179"/>
    </row>
    <row r="252" spans="1:22">
      <c r="A252" s="221"/>
      <c r="B252" s="221"/>
      <c r="C252" s="222"/>
      <c r="D252" s="222"/>
      <c r="E252" s="222"/>
      <c r="F252" s="222"/>
      <c r="G252" s="222"/>
      <c r="H252" s="223"/>
      <c r="I252" s="222"/>
      <c r="J252" s="222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179"/>
    </row>
    <row r="253" spans="1:22">
      <c r="A253" s="221"/>
      <c r="B253" s="221"/>
      <c r="C253" s="222"/>
      <c r="D253" s="222"/>
      <c r="E253" s="222"/>
      <c r="F253" s="222"/>
      <c r="G253" s="222"/>
      <c r="H253" s="223"/>
      <c r="I253" s="222"/>
      <c r="J253" s="222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179"/>
    </row>
    <row r="254" spans="1:22">
      <c r="A254" s="221"/>
      <c r="B254" s="221"/>
      <c r="C254" s="222"/>
      <c r="D254" s="222"/>
      <c r="E254" s="222"/>
      <c r="F254" s="222"/>
      <c r="G254" s="222"/>
      <c r="H254" s="223"/>
      <c r="I254" s="222"/>
      <c r="J254" s="222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179"/>
    </row>
    <row r="255" spans="1:22">
      <c r="A255" s="221"/>
      <c r="B255" s="221"/>
      <c r="C255" s="222"/>
      <c r="D255" s="222"/>
      <c r="E255" s="222"/>
      <c r="F255" s="222"/>
      <c r="G255" s="222"/>
      <c r="H255" s="223"/>
      <c r="I255" s="222"/>
      <c r="J255" s="222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179"/>
    </row>
    <row r="256" spans="1:22">
      <c r="A256" s="221"/>
      <c r="B256" s="221"/>
      <c r="C256" s="222"/>
      <c r="D256" s="222"/>
      <c r="E256" s="222"/>
      <c r="F256" s="222"/>
      <c r="G256" s="222"/>
      <c r="H256" s="223"/>
      <c r="I256" s="222"/>
      <c r="J256" s="222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179"/>
    </row>
    <row r="257" spans="1:22">
      <c r="A257" s="221"/>
      <c r="B257" s="221"/>
      <c r="C257" s="222"/>
      <c r="D257" s="222"/>
      <c r="E257" s="222"/>
      <c r="F257" s="222"/>
      <c r="G257" s="222"/>
      <c r="H257" s="223"/>
      <c r="I257" s="222"/>
      <c r="J257" s="222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179"/>
    </row>
    <row r="258" spans="1:22">
      <c r="A258" s="221"/>
      <c r="B258" s="221"/>
      <c r="C258" s="222"/>
      <c r="D258" s="222"/>
      <c r="E258" s="222"/>
      <c r="F258" s="222"/>
      <c r="G258" s="222"/>
      <c r="H258" s="223"/>
      <c r="I258" s="222"/>
      <c r="J258" s="222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179"/>
    </row>
    <row r="259" spans="1:22">
      <c r="A259" s="221"/>
      <c r="B259" s="221"/>
      <c r="C259" s="222"/>
      <c r="D259" s="222"/>
      <c r="E259" s="222"/>
      <c r="F259" s="222"/>
      <c r="G259" s="222"/>
      <c r="H259" s="223"/>
      <c r="I259" s="222"/>
      <c r="J259" s="222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179"/>
    </row>
    <row r="260" spans="1:22">
      <c r="A260" s="221"/>
      <c r="B260" s="221"/>
      <c r="C260" s="222"/>
      <c r="D260" s="222"/>
      <c r="E260" s="222"/>
      <c r="F260" s="222"/>
      <c r="G260" s="222"/>
      <c r="H260" s="223"/>
      <c r="I260" s="222"/>
      <c r="J260" s="222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179"/>
    </row>
    <row r="261" spans="1:22">
      <c r="A261" s="221"/>
      <c r="B261" s="221"/>
      <c r="C261" s="222"/>
      <c r="D261" s="222"/>
      <c r="E261" s="222"/>
      <c r="F261" s="222"/>
      <c r="G261" s="222"/>
      <c r="H261" s="223"/>
      <c r="I261" s="222"/>
      <c r="J261" s="222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179"/>
    </row>
    <row r="262" spans="1:22">
      <c r="A262" s="221"/>
      <c r="B262" s="221"/>
      <c r="C262" s="222"/>
      <c r="D262" s="222"/>
      <c r="E262" s="222"/>
      <c r="F262" s="222"/>
      <c r="G262" s="222"/>
      <c r="H262" s="223"/>
      <c r="I262" s="222"/>
      <c r="J262" s="222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179"/>
    </row>
    <row r="263" spans="1:22">
      <c r="A263" s="224"/>
      <c r="B263" s="224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</row>
    <row r="264" spans="1:22">
      <c r="A264" s="224"/>
      <c r="B264" s="224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</row>
    <row r="265" spans="1:22">
      <c r="A265" s="224"/>
      <c r="B265" s="224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</row>
    <row r="266" spans="1:22">
      <c r="A266" s="224"/>
      <c r="B266" s="224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</row>
    <row r="267" spans="1:22">
      <c r="A267" s="224"/>
      <c r="B267" s="224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</row>
    <row r="268" spans="1:22">
      <c r="A268" s="224"/>
      <c r="B268" s="224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</row>
    <row r="269" spans="1:22">
      <c r="A269" s="224"/>
      <c r="B269" s="224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</row>
    <row r="270" spans="1:22">
      <c r="A270" s="224"/>
      <c r="B270" s="224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</row>
    <row r="271" spans="1:22">
      <c r="A271" s="224"/>
      <c r="B271" s="224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</row>
    <row r="272" spans="1:22">
      <c r="A272" s="224"/>
      <c r="B272" s="224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</row>
    <row r="273" spans="1:22">
      <c r="A273" s="224"/>
      <c r="B273" s="224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</row>
    <row r="274" spans="1:22">
      <c r="A274" s="224"/>
      <c r="B274" s="224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</row>
    <row r="275" spans="1:22">
      <c r="A275" s="224"/>
      <c r="B275" s="224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</row>
    <row r="276" spans="1:22">
      <c r="A276" s="224"/>
      <c r="B276" s="224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</row>
    <row r="277" spans="1:22">
      <c r="A277" s="224"/>
      <c r="B277" s="224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</row>
    <row r="278" spans="1:22">
      <c r="A278" s="224"/>
      <c r="B278" s="224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</row>
    <row r="279" spans="1:22">
      <c r="A279" s="224"/>
      <c r="B279" s="224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</row>
    <row r="280" spans="1:22">
      <c r="A280" s="224"/>
      <c r="B280" s="224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</row>
    <row r="281" spans="1:22">
      <c r="A281" s="224"/>
      <c r="B281" s="224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</row>
    <row r="282" spans="1:22">
      <c r="A282" s="224"/>
      <c r="B282" s="224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</row>
    <row r="283" spans="1:22">
      <c r="A283" s="224"/>
      <c r="B283" s="224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</row>
    <row r="284" spans="1:22">
      <c r="A284" s="224"/>
      <c r="B284" s="224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</row>
    <row r="285" spans="1:22">
      <c r="A285" s="224"/>
      <c r="B285" s="224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</row>
    <row r="286" spans="1:22">
      <c r="A286" s="224"/>
      <c r="B286" s="224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</row>
    <row r="287" spans="1:22">
      <c r="A287" s="224"/>
      <c r="B287" s="224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</row>
    <row r="288" spans="1:22">
      <c r="A288" s="224"/>
      <c r="B288" s="224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</row>
    <row r="289" spans="1:22">
      <c r="A289" s="224"/>
      <c r="B289" s="224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</row>
    <row r="290" spans="1:22">
      <c r="A290" s="224"/>
      <c r="B290" s="224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</row>
    <row r="291" spans="1:22">
      <c r="A291" s="224"/>
      <c r="B291" s="224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</row>
    <row r="292" spans="1:22">
      <c r="A292" s="224"/>
      <c r="B292" s="224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</row>
    <row r="293" spans="1:22">
      <c r="A293" s="224"/>
      <c r="B293" s="224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</row>
    <row r="294" spans="1:22">
      <c r="A294" s="224"/>
      <c r="B294" s="224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</row>
    <row r="295" spans="1:22">
      <c r="A295" s="224"/>
      <c r="B295" s="224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</row>
    <row r="296" spans="1:22">
      <c r="A296" s="224"/>
      <c r="B296" s="224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</row>
    <row r="297" spans="1:22">
      <c r="A297" s="224"/>
      <c r="B297" s="224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</row>
    <row r="298" spans="1:22">
      <c r="A298" s="224"/>
      <c r="B298" s="224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</row>
    <row r="299" spans="1:22">
      <c r="A299" s="224"/>
      <c r="B299" s="224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</row>
    <row r="300" spans="1:22">
      <c r="A300" s="224"/>
      <c r="B300" s="224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</row>
    <row r="301" spans="1:22">
      <c r="A301" s="224"/>
      <c r="B301" s="224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</row>
    <row r="302" spans="1:22">
      <c r="A302" s="224"/>
      <c r="B302" s="224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</row>
    <row r="303" spans="1:22">
      <c r="A303" s="224"/>
      <c r="B303" s="224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</row>
    <row r="304" spans="1:22">
      <c r="A304" s="224"/>
      <c r="B304" s="224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</row>
    <row r="305" spans="1:22">
      <c r="A305" s="224"/>
      <c r="B305" s="224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</row>
    <row r="306" spans="1:22">
      <c r="A306" s="224"/>
      <c r="B306" s="224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</row>
    <row r="307" spans="1:22">
      <c r="A307" s="224"/>
      <c r="B307" s="224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</row>
    <row r="308" spans="1:22">
      <c r="A308" s="224"/>
      <c r="B308" s="224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</row>
    <row r="309" spans="1:22">
      <c r="A309" s="224"/>
      <c r="B309" s="224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</row>
    <row r="310" spans="1:22">
      <c r="A310" s="224"/>
      <c r="B310" s="224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</row>
    <row r="311" spans="1:22">
      <c r="A311" s="224"/>
      <c r="B311" s="224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</row>
    <row r="312" spans="1:22">
      <c r="A312" s="224"/>
      <c r="B312" s="224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</row>
    <row r="313" spans="1:22">
      <c r="A313" s="224"/>
      <c r="B313" s="224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</row>
    <row r="314" spans="1:22">
      <c r="A314" s="224"/>
      <c r="B314" s="224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</row>
    <row r="315" spans="1:22">
      <c r="A315" s="224"/>
      <c r="B315" s="224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</row>
    <row r="316" spans="1:22">
      <c r="A316" s="224"/>
      <c r="B316" s="224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</row>
    <row r="317" spans="1:22">
      <c r="A317" s="224"/>
      <c r="B317" s="224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</row>
    <row r="318" spans="1:22">
      <c r="A318" s="224"/>
      <c r="B318" s="224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</row>
    <row r="319" spans="1:22">
      <c r="A319" s="224"/>
      <c r="B319" s="224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</row>
    <row r="320" spans="1:22">
      <c r="A320" s="224"/>
      <c r="B320" s="224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</row>
    <row r="321" spans="1:22">
      <c r="A321" s="224"/>
      <c r="B321" s="224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</row>
    <row r="322" spans="1:22">
      <c r="A322" s="224"/>
      <c r="B322" s="224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</row>
    <row r="323" spans="1:22">
      <c r="A323" s="224"/>
      <c r="B323" s="224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</row>
    <row r="324" spans="1:22">
      <c r="A324" s="224"/>
      <c r="B324" s="224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</row>
    <row r="325" spans="1:22">
      <c r="A325" s="224"/>
      <c r="B325" s="224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</row>
    <row r="326" spans="1:22">
      <c r="A326" s="224"/>
      <c r="B326" s="224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</row>
    <row r="327" spans="1:22">
      <c r="A327" s="224"/>
      <c r="B327" s="224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</row>
    <row r="328" spans="1:22">
      <c r="A328" s="224"/>
      <c r="B328" s="224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</row>
    <row r="329" spans="1:22">
      <c r="A329" s="224"/>
      <c r="B329" s="224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</row>
    <row r="330" spans="1:22">
      <c r="A330" s="224"/>
      <c r="B330" s="224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</row>
    <row r="331" spans="1:22">
      <c r="A331" s="224"/>
      <c r="B331" s="224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</row>
    <row r="332" spans="1:22">
      <c r="A332" s="224"/>
      <c r="B332" s="224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</row>
    <row r="333" spans="1:22">
      <c r="A333" s="224"/>
      <c r="B333" s="224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</row>
    <row r="334" spans="1:22">
      <c r="A334" s="224"/>
      <c r="B334" s="224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</row>
    <row r="335" spans="1:22">
      <c r="A335" s="224"/>
      <c r="B335" s="224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</row>
    <row r="336" spans="1:22">
      <c r="A336" s="224"/>
      <c r="B336" s="224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</row>
    <row r="337" spans="1:22">
      <c r="A337" s="224"/>
      <c r="B337" s="224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</row>
    <row r="338" spans="1:22">
      <c r="A338" s="224"/>
      <c r="B338" s="224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</row>
    <row r="339" spans="1:22">
      <c r="A339" s="224"/>
      <c r="B339" s="224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</row>
    <row r="340" spans="1:22">
      <c r="A340" s="224"/>
      <c r="B340" s="224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</row>
    <row r="341" spans="1:22">
      <c r="A341" s="224"/>
      <c r="B341" s="224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</row>
    <row r="342" spans="1:22">
      <c r="A342" s="224"/>
      <c r="B342" s="224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</row>
    <row r="343" spans="1:22">
      <c r="A343" s="224"/>
      <c r="B343" s="224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</row>
    <row r="344" spans="1:22">
      <c r="A344" s="224"/>
      <c r="B344" s="224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</row>
    <row r="345" spans="1:22">
      <c r="A345" s="224"/>
      <c r="B345" s="224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</row>
    <row r="346" spans="1:22">
      <c r="A346" s="224"/>
      <c r="B346" s="224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</row>
    <row r="347" spans="1:22">
      <c r="A347" s="224"/>
      <c r="B347" s="224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</row>
    <row r="348" spans="1:22">
      <c r="A348" s="224"/>
      <c r="B348" s="224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</row>
    <row r="349" spans="1:22">
      <c r="A349" s="224"/>
      <c r="B349" s="224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</row>
    <row r="350" spans="1:22">
      <c r="A350" s="224"/>
      <c r="B350" s="224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</row>
    <row r="351" spans="1:22">
      <c r="A351" s="224"/>
      <c r="B351" s="224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</row>
    <row r="352" spans="1:22">
      <c r="A352" s="224"/>
      <c r="B352" s="224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</row>
    <row r="353" spans="1:22">
      <c r="A353" s="224"/>
      <c r="B353" s="224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</row>
    <row r="354" spans="1:22">
      <c r="A354" s="224"/>
      <c r="B354" s="224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</row>
    <row r="355" spans="1:22">
      <c r="A355" s="224"/>
      <c r="B355" s="224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</row>
    <row r="356" spans="1:22">
      <c r="A356" s="224"/>
      <c r="B356" s="224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</row>
    <row r="357" spans="1:22">
      <c r="A357" s="224"/>
      <c r="B357" s="224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</row>
    <row r="358" spans="1:22">
      <c r="A358" s="224"/>
      <c r="B358" s="224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</row>
    <row r="359" spans="1:22">
      <c r="A359" s="224"/>
      <c r="B359" s="224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</row>
    <row r="360" spans="1:22">
      <c r="A360" s="224"/>
      <c r="B360" s="224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</row>
    <row r="361" spans="1:22">
      <c r="A361" s="224"/>
      <c r="B361" s="224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</row>
    <row r="362" spans="1:22">
      <c r="A362" s="224"/>
      <c r="B362" s="224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</row>
    <row r="363" spans="1:22">
      <c r="A363" s="224"/>
      <c r="B363" s="224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</row>
    <row r="364" spans="1:22">
      <c r="A364" s="224"/>
      <c r="B364" s="224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</row>
    <row r="365" spans="1:22">
      <c r="A365" s="224"/>
      <c r="B365" s="224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</row>
    <row r="366" spans="1:22">
      <c r="A366" s="224"/>
      <c r="B366" s="224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</row>
    <row r="367" spans="1:22">
      <c r="A367" s="224"/>
      <c r="B367" s="224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</row>
    <row r="368" spans="1:22">
      <c r="A368" s="224"/>
      <c r="B368" s="224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</row>
    <row r="369" spans="1:22">
      <c r="A369" s="224"/>
      <c r="B369" s="224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</row>
    <row r="370" spans="1:22">
      <c r="A370" s="224"/>
      <c r="B370" s="224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</row>
    <row r="371" spans="1:22">
      <c r="A371" s="224"/>
      <c r="B371" s="224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</row>
    <row r="372" spans="1:22">
      <c r="A372" s="224"/>
      <c r="B372" s="224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</row>
    <row r="373" spans="1:22">
      <c r="A373" s="224"/>
      <c r="B373" s="224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</row>
    <row r="374" spans="1:22">
      <c r="A374" s="224"/>
      <c r="B374" s="224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</row>
    <row r="375" spans="1:22">
      <c r="A375" s="224"/>
      <c r="B375" s="224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</row>
    <row r="376" spans="1:22">
      <c r="A376" s="224"/>
      <c r="B376" s="224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</row>
    <row r="377" spans="1:22">
      <c r="A377" s="224"/>
      <c r="B377" s="224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</row>
    <row r="378" spans="1:22">
      <c r="A378" s="224"/>
      <c r="B378" s="224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</row>
    <row r="379" spans="1:22">
      <c r="A379" s="224"/>
      <c r="B379" s="224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</row>
    <row r="380" spans="1:22">
      <c r="A380" s="224"/>
      <c r="B380" s="224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</row>
    <row r="381" spans="1:22">
      <c r="A381" s="224"/>
      <c r="B381" s="224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</row>
    <row r="382" spans="1:22">
      <c r="A382" s="224"/>
      <c r="B382" s="224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</row>
    <row r="383" spans="1:22">
      <c r="A383" s="224"/>
      <c r="B383" s="224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</row>
    <row r="384" spans="1:22">
      <c r="A384" s="224"/>
      <c r="B384" s="224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</row>
    <row r="385" spans="1:22">
      <c r="A385" s="224"/>
      <c r="B385" s="224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</row>
    <row r="386" spans="1:22">
      <c r="A386" s="224"/>
      <c r="B386" s="224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</row>
    <row r="387" spans="1:22">
      <c r="A387" s="224"/>
      <c r="B387" s="224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</row>
    <row r="388" spans="1:22">
      <c r="A388" s="224"/>
      <c r="B388" s="224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</row>
    <row r="389" spans="1:22">
      <c r="A389" s="224"/>
      <c r="B389" s="224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</row>
    <row r="390" spans="1:22">
      <c r="A390" s="224"/>
      <c r="B390" s="224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</row>
    <row r="391" spans="1:22">
      <c r="A391" s="224"/>
      <c r="B391" s="224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</row>
    <row r="392" spans="1:22">
      <c r="A392" s="224"/>
      <c r="B392" s="224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</row>
    <row r="393" spans="1:22">
      <c r="A393" s="224"/>
      <c r="B393" s="224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</row>
    <row r="394" spans="1:22">
      <c r="A394" s="224"/>
      <c r="B394" s="224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</row>
    <row r="395" spans="1:22">
      <c r="A395" s="224"/>
      <c r="B395" s="224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</row>
    <row r="396" spans="1:22">
      <c r="A396" s="224"/>
      <c r="B396" s="224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</row>
    <row r="397" spans="1:22">
      <c r="A397" s="224"/>
      <c r="B397" s="224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</row>
    <row r="398" spans="1:22">
      <c r="A398" s="224"/>
      <c r="B398" s="224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</row>
    <row r="399" spans="1:22">
      <c r="A399" s="224"/>
      <c r="B399" s="224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</row>
    <row r="400" spans="1:22">
      <c r="A400" s="224"/>
      <c r="B400" s="224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</row>
    <row r="401" spans="1:22">
      <c r="A401" s="224"/>
      <c r="B401" s="224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</row>
    <row r="402" spans="1:22">
      <c r="A402" s="224"/>
      <c r="B402" s="224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</row>
    <row r="403" spans="1:22">
      <c r="A403" s="224"/>
      <c r="B403" s="224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</row>
    <row r="404" spans="1:22">
      <c r="A404" s="224"/>
      <c r="B404" s="224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</row>
    <row r="405" spans="1:22">
      <c r="A405" s="224"/>
      <c r="B405" s="224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</row>
    <row r="406" spans="1:22">
      <c r="A406" s="224"/>
      <c r="B406" s="224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</row>
    <row r="407" spans="1:22">
      <c r="A407" s="224"/>
      <c r="B407" s="224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</row>
    <row r="408" spans="1:22">
      <c r="A408" s="224"/>
      <c r="B408" s="224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</row>
    <row r="409" spans="1:22">
      <c r="A409" s="224"/>
      <c r="B409" s="224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</row>
    <row r="410" spans="1:22">
      <c r="A410" s="224"/>
      <c r="B410" s="224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</row>
    <row r="411" spans="1:22">
      <c r="A411" s="224"/>
      <c r="B411" s="224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</row>
    <row r="412" spans="1:22">
      <c r="A412" s="224"/>
      <c r="B412" s="224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</row>
    <row r="413" spans="1:22">
      <c r="A413" s="224"/>
      <c r="B413" s="224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</row>
    <row r="414" spans="1:22">
      <c r="A414" s="224"/>
      <c r="B414" s="224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</row>
    <row r="415" spans="1:22">
      <c r="A415" s="224"/>
      <c r="B415" s="224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</row>
    <row r="416" spans="1:22">
      <c r="A416" s="224"/>
      <c r="B416" s="224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</row>
    <row r="417" spans="1:22">
      <c r="A417" s="224"/>
      <c r="B417" s="224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</row>
    <row r="418" spans="1:22">
      <c r="A418" s="224"/>
      <c r="B418" s="224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</row>
    <row r="419" spans="1:22">
      <c r="A419" s="224"/>
      <c r="B419" s="224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</row>
    <row r="420" spans="1:22">
      <c r="A420" s="224"/>
      <c r="B420" s="224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</row>
    <row r="421" spans="1:22">
      <c r="A421" s="224"/>
      <c r="B421" s="224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</row>
    <row r="422" spans="1:22">
      <c r="A422" s="224"/>
      <c r="B422" s="224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</row>
    <row r="423" spans="1:22">
      <c r="A423" s="224"/>
      <c r="B423" s="224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</row>
    <row r="424" spans="1:22">
      <c r="A424" s="224"/>
      <c r="B424" s="224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</row>
    <row r="425" spans="1:22">
      <c r="A425" s="224"/>
      <c r="B425" s="224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</row>
    <row r="426" spans="1:22">
      <c r="A426" s="224"/>
      <c r="B426" s="224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</row>
    <row r="427" spans="1:22">
      <c r="A427" s="224"/>
      <c r="B427" s="224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</row>
    <row r="428" spans="1:22">
      <c r="A428" s="224"/>
      <c r="B428" s="224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</row>
    <row r="429" spans="1:22">
      <c r="A429" s="224"/>
      <c r="B429" s="224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</row>
    <row r="430" spans="1:22">
      <c r="A430" s="224"/>
      <c r="B430" s="224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</row>
    <row r="431" spans="1:22">
      <c r="A431" s="224"/>
      <c r="B431" s="224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</row>
    <row r="432" spans="1:22">
      <c r="A432" s="224"/>
      <c r="B432" s="224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</row>
    <row r="433" spans="1:22">
      <c r="A433" s="224"/>
      <c r="B433" s="224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</row>
    <row r="434" spans="1:22">
      <c r="A434" s="224"/>
      <c r="B434" s="224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</row>
    <row r="435" spans="1:22">
      <c r="A435" s="224"/>
      <c r="B435" s="224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</row>
    <row r="436" spans="1:22">
      <c r="A436" s="224"/>
      <c r="B436" s="224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</row>
    <row r="437" spans="1:22">
      <c r="A437" s="224"/>
      <c r="B437" s="224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</row>
    <row r="438" spans="1:22">
      <c r="A438" s="224"/>
      <c r="B438" s="224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</row>
    <row r="439" spans="1:22">
      <c r="A439" s="224"/>
      <c r="B439" s="224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</row>
    <row r="440" spans="1:22">
      <c r="A440" s="224"/>
      <c r="B440" s="224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</row>
    <row r="441" spans="1:22">
      <c r="A441" s="224"/>
      <c r="B441" s="224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</row>
    <row r="442" spans="1:22">
      <c r="A442" s="224"/>
      <c r="B442" s="224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</row>
    <row r="443" spans="1:22">
      <c r="A443" s="224"/>
      <c r="B443" s="224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</row>
    <row r="444" spans="1:22">
      <c r="A444" s="224"/>
      <c r="B444" s="224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</row>
    <row r="445" spans="1:22">
      <c r="A445" s="224"/>
      <c r="B445" s="224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</row>
    <row r="446" spans="1:22">
      <c r="A446" s="224"/>
      <c r="B446" s="224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</row>
    <row r="447" spans="1:22">
      <c r="A447" s="224"/>
      <c r="B447" s="224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</row>
    <row r="448" spans="1:22">
      <c r="A448" s="224"/>
      <c r="B448" s="224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</row>
    <row r="449" spans="1:22">
      <c r="A449" s="224"/>
      <c r="B449" s="224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</row>
    <row r="450" spans="1:22">
      <c r="A450" s="224"/>
      <c r="B450" s="224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</row>
    <row r="451" spans="1:22">
      <c r="A451" s="224"/>
      <c r="B451" s="224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</row>
    <row r="452" spans="1:22">
      <c r="A452" s="224"/>
      <c r="B452" s="224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</row>
    <row r="453" spans="1:22">
      <c r="A453" s="224"/>
      <c r="B453" s="224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</row>
    <row r="454" spans="1:22">
      <c r="A454" s="224"/>
      <c r="B454" s="224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</row>
    <row r="455" spans="1:22">
      <c r="A455" s="224"/>
      <c r="B455" s="224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</row>
    <row r="456" spans="1:22">
      <c r="A456" s="224"/>
      <c r="B456" s="224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</row>
    <row r="457" spans="1:22">
      <c r="A457" s="224"/>
      <c r="B457" s="224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</row>
    <row r="458" spans="1:22">
      <c r="A458" s="224"/>
      <c r="B458" s="224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</row>
    <row r="459" spans="1:22">
      <c r="A459" s="224"/>
      <c r="B459" s="224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</row>
    <row r="460" spans="1:22">
      <c r="A460" s="224"/>
      <c r="B460" s="224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</row>
    <row r="461" spans="1:22">
      <c r="A461" s="224"/>
      <c r="B461" s="224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</row>
    <row r="462" spans="1:22">
      <c r="A462" s="224"/>
      <c r="B462" s="224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</row>
    <row r="463" spans="1:22">
      <c r="A463" s="224"/>
      <c r="B463" s="224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</row>
    <row r="464" spans="1:22">
      <c r="A464" s="224"/>
      <c r="B464" s="224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</row>
    <row r="465" spans="1:22">
      <c r="A465" s="224"/>
      <c r="B465" s="224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</row>
    <row r="466" spans="1:22">
      <c r="A466" s="224"/>
      <c r="B466" s="224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</row>
    <row r="467" spans="1:22">
      <c r="A467" s="224"/>
      <c r="B467" s="224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</row>
    <row r="468" spans="1:22">
      <c r="A468" s="224"/>
      <c r="B468" s="224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</row>
    <row r="469" spans="1:22">
      <c r="A469" s="224"/>
      <c r="B469" s="224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</row>
    <row r="470" spans="1:22">
      <c r="A470" s="224"/>
      <c r="B470" s="224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</row>
    <row r="471" spans="1:22">
      <c r="A471" s="224"/>
      <c r="B471" s="224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</row>
    <row r="472" spans="1:22">
      <c r="A472" s="224"/>
      <c r="B472" s="224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</row>
    <row r="473" spans="1:22">
      <c r="A473" s="224"/>
      <c r="B473" s="224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</row>
    <row r="474" spans="1:22">
      <c r="A474" s="224"/>
      <c r="B474" s="224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</row>
    <row r="475" spans="1:22">
      <c r="A475" s="224"/>
      <c r="B475" s="224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</row>
    <row r="476" spans="1:22">
      <c r="A476" s="224"/>
      <c r="B476" s="224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</row>
    <row r="477" spans="1:22">
      <c r="A477" s="224"/>
      <c r="B477" s="224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</row>
    <row r="478" spans="1:22">
      <c r="A478" s="224"/>
      <c r="B478" s="224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</row>
    <row r="479" spans="1:22">
      <c r="A479" s="224"/>
      <c r="B479" s="224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</row>
    <row r="480" spans="1:22">
      <c r="A480" s="224"/>
      <c r="B480" s="224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</row>
    <row r="481" spans="1:22">
      <c r="A481" s="224"/>
      <c r="B481" s="224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</row>
    <row r="482" spans="1:22">
      <c r="A482" s="224"/>
      <c r="B482" s="224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</row>
    <row r="483" spans="1:22">
      <c r="A483" s="224"/>
      <c r="B483" s="224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</row>
    <row r="484" spans="1:22">
      <c r="A484" s="224"/>
      <c r="B484" s="224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</row>
    <row r="485" spans="1:22">
      <c r="A485" s="224"/>
      <c r="B485" s="224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</row>
    <row r="486" spans="1:22">
      <c r="A486" s="224"/>
      <c r="B486" s="224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</row>
    <row r="487" spans="1:22">
      <c r="A487" s="224"/>
      <c r="B487" s="224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</row>
    <row r="488" spans="1:22">
      <c r="A488" s="224"/>
      <c r="B488" s="224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</row>
    <row r="489" spans="1:22">
      <c r="A489" s="224"/>
      <c r="B489" s="224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</row>
    <row r="490" spans="1:22">
      <c r="A490" s="224"/>
      <c r="B490" s="224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</row>
    <row r="491" spans="1:22">
      <c r="A491" s="224"/>
      <c r="B491" s="224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</row>
    <row r="492" spans="1:22">
      <c r="A492" s="224"/>
      <c r="B492" s="224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</row>
    <row r="493" spans="1:22">
      <c r="A493" s="224"/>
      <c r="B493" s="224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</row>
    <row r="494" spans="1:22">
      <c r="A494" s="224"/>
      <c r="B494" s="224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</row>
    <row r="495" spans="1:22">
      <c r="A495" s="224"/>
      <c r="B495" s="224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</row>
    <row r="496" spans="1:22">
      <c r="A496" s="224"/>
      <c r="B496" s="224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</row>
    <row r="497" spans="1:22">
      <c r="A497" s="224"/>
      <c r="B497" s="224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</row>
    <row r="498" spans="1:22">
      <c r="A498" s="224"/>
      <c r="B498" s="224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</row>
    <row r="499" spans="1:22">
      <c r="A499" s="224"/>
      <c r="B499" s="224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</row>
    <row r="500" spans="1:22">
      <c r="A500" s="224"/>
      <c r="B500" s="224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</row>
    <row r="501" spans="1:22">
      <c r="A501" s="224"/>
      <c r="B501" s="224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</row>
    <row r="502" spans="1:22">
      <c r="A502" s="224"/>
      <c r="B502" s="224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</row>
    <row r="503" spans="1:22">
      <c r="A503" s="224"/>
      <c r="B503" s="224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</row>
    <row r="504" spans="1:22">
      <c r="A504" s="224"/>
      <c r="B504" s="224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</row>
    <row r="505" spans="1:22">
      <c r="A505" s="224"/>
      <c r="B505" s="224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</row>
    <row r="506" spans="1:22">
      <c r="A506" s="224"/>
      <c r="B506" s="224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</row>
    <row r="507" spans="1:22">
      <c r="A507" s="224"/>
      <c r="B507" s="224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</row>
    <row r="508" spans="1:22">
      <c r="A508" s="224"/>
      <c r="B508" s="224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</row>
    <row r="509" spans="1:22">
      <c r="A509" s="224"/>
      <c r="B509" s="224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</row>
    <row r="510" spans="1:22">
      <c r="A510" s="224"/>
      <c r="B510" s="224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</row>
    <row r="511" spans="1:22">
      <c r="A511" s="224"/>
      <c r="B511" s="224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</row>
    <row r="512" spans="1:22">
      <c r="A512" s="224"/>
      <c r="B512" s="224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</row>
    <row r="513" spans="1:22">
      <c r="A513" s="224"/>
      <c r="B513" s="224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</row>
    <row r="514" spans="1:22">
      <c r="A514" s="224"/>
      <c r="B514" s="224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</row>
    <row r="515" spans="1:22">
      <c r="A515" s="224"/>
      <c r="B515" s="224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</row>
    <row r="516" spans="1:22">
      <c r="A516" s="224"/>
      <c r="B516" s="224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</row>
    <row r="517" spans="1:22">
      <c r="A517" s="224"/>
      <c r="B517" s="224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</row>
    <row r="518" spans="1:22">
      <c r="A518" s="224"/>
      <c r="B518" s="224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</row>
    <row r="519" spans="1:22">
      <c r="A519" s="224"/>
      <c r="B519" s="224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</row>
    <row r="520" spans="1:22">
      <c r="A520" s="224"/>
      <c r="B520" s="224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</row>
    <row r="521" spans="1:22">
      <c r="A521" s="224"/>
      <c r="B521" s="224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</row>
    <row r="522" spans="1:22">
      <c r="A522" s="224"/>
      <c r="B522" s="224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</row>
    <row r="523" spans="1:22">
      <c r="A523" s="224"/>
      <c r="B523" s="224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</row>
    <row r="524" spans="1:22">
      <c r="A524" s="224"/>
      <c r="B524" s="224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</row>
    <row r="525" spans="1:22">
      <c r="A525" s="224"/>
      <c r="B525" s="224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</row>
    <row r="526" spans="1:22">
      <c r="A526" s="224"/>
      <c r="B526" s="224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</row>
    <row r="527" spans="1:22">
      <c r="A527" s="224"/>
      <c r="B527" s="224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</row>
    <row r="528" spans="1:22">
      <c r="A528" s="224"/>
      <c r="B528" s="224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</row>
    <row r="529" spans="1:22">
      <c r="A529" s="224"/>
      <c r="B529" s="224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</row>
    <row r="530" spans="1:22">
      <c r="A530" s="224"/>
      <c r="B530" s="224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</row>
    <row r="531" spans="1:22">
      <c r="A531" s="224"/>
      <c r="B531" s="224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</row>
    <row r="532" spans="1:22">
      <c r="A532" s="224"/>
      <c r="B532" s="224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</row>
    <row r="533" spans="1:22">
      <c r="A533" s="224"/>
      <c r="B533" s="224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</row>
    <row r="534" spans="1:22">
      <c r="A534" s="224"/>
      <c r="B534" s="224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</row>
    <row r="535" spans="1:22">
      <c r="A535" s="224"/>
      <c r="B535" s="224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</row>
    <row r="536" spans="1:22">
      <c r="A536" s="224"/>
      <c r="B536" s="224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</row>
    <row r="537" spans="1:22">
      <c r="A537" s="224"/>
      <c r="B537" s="224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</row>
    <row r="538" spans="1:22">
      <c r="A538" s="224"/>
      <c r="B538" s="224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</row>
    <row r="539" spans="1:22">
      <c r="A539" s="224"/>
      <c r="B539" s="224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</row>
    <row r="540" spans="1:22">
      <c r="A540" s="224"/>
      <c r="B540" s="224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</row>
    <row r="541" spans="1:22">
      <c r="A541" s="224"/>
      <c r="B541" s="224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</row>
    <row r="542" spans="1:22">
      <c r="A542" s="224"/>
      <c r="B542" s="224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</row>
    <row r="543" spans="1:22">
      <c r="A543" s="224"/>
      <c r="B543" s="224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</row>
    <row r="544" spans="1:22">
      <c r="A544" s="224"/>
      <c r="B544" s="224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</row>
    <row r="545" spans="1:22">
      <c r="A545" s="224"/>
      <c r="B545" s="224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</row>
    <row r="546" spans="1:22">
      <c r="A546" s="224"/>
      <c r="B546" s="224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</row>
    <row r="547" spans="1:22">
      <c r="A547" s="224"/>
      <c r="B547" s="224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</row>
    <row r="548" spans="1:22">
      <c r="A548" s="224"/>
      <c r="B548" s="224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</row>
    <row r="549" spans="1:22">
      <c r="A549" s="224"/>
      <c r="B549" s="224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</row>
    <row r="550" spans="1:22">
      <c r="A550" s="224"/>
      <c r="B550" s="224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</row>
    <row r="551" spans="1:22">
      <c r="A551" s="224"/>
      <c r="B551" s="224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</row>
    <row r="552" spans="1:22">
      <c r="A552" s="224"/>
      <c r="B552" s="224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</row>
    <row r="553" spans="1:22">
      <c r="A553" s="224"/>
      <c r="B553" s="224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</row>
    <row r="554" spans="1:22">
      <c r="A554" s="224"/>
      <c r="B554" s="224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</row>
    <row r="555" spans="1:22">
      <c r="A555" s="224"/>
      <c r="B555" s="224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</row>
    <row r="556" spans="1:22">
      <c r="A556" s="224"/>
      <c r="B556" s="224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</row>
    <row r="557" spans="1:22">
      <c r="A557" s="224"/>
      <c r="B557" s="224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</row>
    <row r="558" spans="1:22">
      <c r="A558" s="224"/>
      <c r="B558" s="224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</row>
    <row r="559" spans="1:22">
      <c r="A559" s="224"/>
      <c r="B559" s="224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</row>
    <row r="560" spans="1:22">
      <c r="A560" s="224"/>
      <c r="B560" s="224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</row>
    <row r="561" spans="1:22">
      <c r="A561" s="224"/>
      <c r="B561" s="224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</row>
    <row r="562" spans="1:22">
      <c r="A562" s="224"/>
      <c r="B562" s="224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</row>
    <row r="563" spans="1:22">
      <c r="A563" s="224"/>
      <c r="B563" s="224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</row>
    <row r="564" spans="1:22">
      <c r="A564" s="224"/>
      <c r="B564" s="224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</row>
    <row r="565" spans="1:22">
      <c r="A565" s="224"/>
      <c r="B565" s="224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</row>
    <row r="566" spans="1:22">
      <c r="A566" s="224"/>
      <c r="B566" s="224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</row>
    <row r="567" spans="1:22">
      <c r="A567" s="224"/>
      <c r="B567" s="224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</row>
    <row r="568" spans="1:22">
      <c r="A568" s="224"/>
      <c r="B568" s="224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</row>
    <row r="569" spans="1:22">
      <c r="A569" s="224"/>
      <c r="B569" s="224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</row>
    <row r="570" spans="1:22">
      <c r="A570" s="224"/>
      <c r="B570" s="224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</row>
    <row r="571" spans="1:22">
      <c r="A571" s="224"/>
      <c r="B571" s="224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</row>
    <row r="572" spans="1:22">
      <c r="A572" s="224"/>
      <c r="B572" s="224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</row>
    <row r="573" spans="1:22">
      <c r="A573" s="224"/>
      <c r="B573" s="224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</row>
    <row r="574" spans="1:22">
      <c r="A574" s="224"/>
      <c r="B574" s="224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</row>
    <row r="575" spans="1:22">
      <c r="A575" s="224"/>
      <c r="B575" s="224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</row>
    <row r="576" spans="1:22">
      <c r="A576" s="224"/>
      <c r="B576" s="224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</row>
    <row r="577" spans="1:22">
      <c r="A577" s="224"/>
      <c r="B577" s="224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</row>
    <row r="578" spans="1:22">
      <c r="A578" s="224"/>
      <c r="B578" s="224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</row>
    <row r="579" spans="1:22">
      <c r="A579" s="224"/>
      <c r="B579" s="224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</row>
    <row r="580" spans="1:22">
      <c r="A580" s="224"/>
      <c r="B580" s="224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</row>
    <row r="581" spans="1:22">
      <c r="A581" s="224"/>
      <c r="B581" s="224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</row>
    <row r="582" spans="1:22">
      <c r="A582" s="224"/>
      <c r="B582" s="224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</row>
    <row r="583" spans="1:22">
      <c r="A583" s="224"/>
      <c r="B583" s="224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</row>
    <row r="584" spans="1:22">
      <c r="A584" s="224"/>
      <c r="B584" s="224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</row>
    <row r="585" spans="1:22">
      <c r="A585" s="224"/>
      <c r="B585" s="224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</row>
    <row r="586" spans="1:22">
      <c r="A586" s="224"/>
      <c r="B586" s="224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</row>
    <row r="587" spans="1:22">
      <c r="A587" s="224"/>
      <c r="B587" s="224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</row>
    <row r="588" spans="1:22">
      <c r="A588" s="224"/>
      <c r="B588" s="224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</row>
    <row r="589" spans="1:22">
      <c r="A589" s="224"/>
      <c r="B589" s="224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</row>
    <row r="590" spans="1:22">
      <c r="A590" s="224"/>
      <c r="B590" s="224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</row>
    <row r="591" spans="1:22">
      <c r="A591" s="224"/>
      <c r="B591" s="224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</row>
    <row r="592" spans="1:22">
      <c r="A592" s="224"/>
      <c r="B592" s="224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</row>
    <row r="593" spans="1:22">
      <c r="A593" s="224"/>
      <c r="B593" s="224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</row>
    <row r="594" spans="1:22">
      <c r="A594" s="224"/>
      <c r="B594" s="224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</row>
    <row r="595" spans="1:22">
      <c r="A595" s="224"/>
      <c r="B595" s="224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</row>
    <row r="596" spans="1:22">
      <c r="A596" s="224"/>
      <c r="B596" s="224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</row>
    <row r="597" spans="1:22">
      <c r="A597" s="224"/>
      <c r="B597" s="224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</row>
    <row r="598" spans="1:22">
      <c r="A598" s="224"/>
      <c r="B598" s="224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</row>
    <row r="599" spans="1:22">
      <c r="A599" s="224"/>
      <c r="B599" s="224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</row>
    <row r="600" spans="1:22">
      <c r="A600" s="224"/>
      <c r="B600" s="224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</row>
    <row r="601" spans="1:22">
      <c r="A601" s="224"/>
      <c r="B601" s="224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</row>
    <row r="602" spans="1:22">
      <c r="A602" s="224"/>
      <c r="B602" s="224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</row>
    <row r="603" spans="1:22">
      <c r="A603" s="224"/>
      <c r="B603" s="224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</row>
    <row r="604" spans="1:22">
      <c r="A604" s="224"/>
      <c r="B604" s="224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</row>
    <row r="605" spans="1:22">
      <c r="A605" s="224"/>
      <c r="B605" s="224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</row>
    <row r="606" spans="1:22">
      <c r="A606" s="224"/>
      <c r="B606" s="224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</row>
    <row r="607" spans="1:22">
      <c r="A607" s="224"/>
      <c r="B607" s="224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</row>
    <row r="608" spans="1:22">
      <c r="A608" s="224"/>
      <c r="B608" s="224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</row>
    <row r="609" spans="1:22">
      <c r="A609" s="224"/>
      <c r="B609" s="224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</row>
    <row r="610" spans="1:22">
      <c r="A610" s="224"/>
      <c r="B610" s="224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</row>
    <row r="611" spans="1:22">
      <c r="A611" s="224"/>
      <c r="B611" s="224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</row>
    <row r="612" spans="1:22">
      <c r="A612" s="224"/>
      <c r="B612" s="224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</row>
    <row r="613" spans="1:22">
      <c r="A613" s="224"/>
      <c r="B613" s="224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</row>
    <row r="614" spans="1:22">
      <c r="A614" s="224"/>
      <c r="B614" s="224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</row>
    <row r="615" spans="1:22">
      <c r="A615" s="224"/>
      <c r="B615" s="224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</row>
    <row r="616" spans="1:22">
      <c r="A616" s="224"/>
      <c r="B616" s="224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</row>
    <row r="617" spans="1:22">
      <c r="A617" s="224"/>
      <c r="B617" s="224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</row>
    <row r="618" spans="1:22">
      <c r="A618" s="224"/>
      <c r="B618" s="224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</row>
    <row r="619" spans="1:22">
      <c r="A619" s="224"/>
      <c r="B619" s="224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</row>
    <row r="620" spans="1:22">
      <c r="A620" s="224"/>
      <c r="B620" s="224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</row>
    <row r="621" spans="1:22">
      <c r="A621" s="224"/>
      <c r="B621" s="224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</row>
    <row r="622" spans="1:22">
      <c r="A622" s="224"/>
      <c r="B622" s="224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</row>
    <row r="623" spans="1:22">
      <c r="A623" s="224"/>
      <c r="B623" s="224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</row>
    <row r="624" spans="1:22">
      <c r="A624" s="224"/>
      <c r="B624" s="224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</row>
    <row r="625" spans="1:22">
      <c r="A625" s="224"/>
      <c r="B625" s="224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</row>
    <row r="626" spans="1:22">
      <c r="A626" s="224"/>
      <c r="B626" s="224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</row>
    <row r="627" spans="1:22">
      <c r="A627" s="224"/>
      <c r="B627" s="224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</row>
    <row r="628" spans="1:22">
      <c r="A628" s="224"/>
      <c r="B628" s="224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</row>
    <row r="629" spans="1:22">
      <c r="A629" s="224"/>
      <c r="B629" s="224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</row>
    <row r="630" spans="1:22">
      <c r="A630" s="224"/>
      <c r="B630" s="224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</row>
    <row r="631" spans="1:22">
      <c r="A631" s="224"/>
      <c r="B631" s="224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</row>
    <row r="632" spans="1:22">
      <c r="A632" s="224"/>
      <c r="B632" s="224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</row>
    <row r="633" spans="1:22">
      <c r="A633" s="224"/>
      <c r="B633" s="224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</row>
    <row r="634" spans="1:22">
      <c r="A634" s="224"/>
      <c r="B634" s="224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</row>
    <row r="635" spans="1:22">
      <c r="A635" s="224"/>
      <c r="B635" s="224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</row>
    <row r="636" spans="1:22">
      <c r="A636" s="224"/>
      <c r="B636" s="224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</row>
    <row r="637" spans="1:22">
      <c r="A637" s="224"/>
      <c r="B637" s="224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</row>
    <row r="638" spans="1:22">
      <c r="A638" s="224"/>
      <c r="B638" s="224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</row>
    <row r="639" spans="1:22">
      <c r="A639" s="224"/>
      <c r="B639" s="224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</row>
    <row r="640" spans="1:22">
      <c r="A640" s="224"/>
      <c r="B640" s="224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</row>
    <row r="641" spans="1:22">
      <c r="A641" s="224"/>
      <c r="B641" s="224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</row>
    <row r="642" spans="1:22">
      <c r="A642" s="224"/>
      <c r="B642" s="224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</row>
    <row r="643" spans="1:22">
      <c r="A643" s="224"/>
      <c r="B643" s="224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</row>
    <row r="644" spans="1:22">
      <c r="A644" s="224"/>
      <c r="B644" s="224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</row>
    <row r="645" spans="1:22">
      <c r="A645" s="224"/>
      <c r="B645" s="224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</row>
    <row r="646" spans="1:22">
      <c r="A646" s="224"/>
      <c r="B646" s="224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</row>
    <row r="647" spans="1:22">
      <c r="A647" s="224"/>
      <c r="B647" s="224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</row>
    <row r="648" spans="1:22">
      <c r="A648" s="224"/>
      <c r="B648" s="224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</row>
    <row r="649" spans="1:22">
      <c r="A649" s="224"/>
      <c r="B649" s="224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</row>
    <row r="650" spans="1:22">
      <c r="A650" s="224"/>
      <c r="B650" s="224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</row>
    <row r="651" spans="1:22">
      <c r="A651" s="224"/>
      <c r="B651" s="224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</row>
    <row r="652" spans="1:22">
      <c r="A652" s="224"/>
      <c r="B652" s="224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</row>
    <row r="653" spans="1:22">
      <c r="A653" s="224"/>
      <c r="B653" s="224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</row>
    <row r="654" spans="1:22">
      <c r="A654" s="224"/>
      <c r="B654" s="224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</row>
    <row r="655" spans="1:22">
      <c r="A655" s="224"/>
      <c r="B655" s="224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</row>
    <row r="656" spans="1:22">
      <c r="A656" s="224"/>
      <c r="B656" s="224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</row>
    <row r="657" spans="1:22">
      <c r="A657" s="224"/>
      <c r="B657" s="224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</row>
    <row r="658" spans="1:22">
      <c r="A658" s="224"/>
      <c r="B658" s="224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</row>
    <row r="659" spans="1:22">
      <c r="A659" s="224"/>
      <c r="B659" s="224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</row>
    <row r="660" spans="1:22">
      <c r="A660" s="224"/>
      <c r="B660" s="224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</row>
    <row r="661" spans="1:22">
      <c r="A661" s="224"/>
      <c r="B661" s="224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</row>
    <row r="662" spans="1:22">
      <c r="A662" s="224"/>
      <c r="B662" s="224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</row>
    <row r="663" spans="1:22">
      <c r="A663" s="224"/>
      <c r="B663" s="224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</row>
    <row r="664" spans="1:22">
      <c r="A664" s="224"/>
      <c r="B664" s="224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</row>
    <row r="665" spans="1:22">
      <c r="A665" s="224"/>
      <c r="B665" s="224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</row>
    <row r="666" spans="1:22">
      <c r="A666" s="224"/>
      <c r="B666" s="224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</row>
    <row r="667" spans="1:22">
      <c r="A667" s="224"/>
      <c r="B667" s="224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</row>
    <row r="668" spans="1:22">
      <c r="A668" s="224"/>
      <c r="B668" s="224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</row>
    <row r="669" spans="1:22">
      <c r="A669" s="224"/>
      <c r="B669" s="224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</row>
    <row r="670" spans="1:22">
      <c r="A670" s="224"/>
      <c r="B670" s="224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</row>
    <row r="671" spans="1:22">
      <c r="A671" s="224"/>
      <c r="B671" s="224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</row>
    <row r="672" spans="1:22">
      <c r="A672" s="224"/>
      <c r="B672" s="224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</row>
    <row r="673" spans="1:22">
      <c r="A673" s="224"/>
      <c r="B673" s="224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</row>
    <row r="674" spans="1:22">
      <c r="A674" s="224"/>
      <c r="B674" s="224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</row>
    <row r="675" spans="1:22">
      <c r="A675" s="224"/>
      <c r="B675" s="224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</row>
    <row r="676" spans="1:22">
      <c r="A676" s="224"/>
      <c r="B676" s="224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</row>
    <row r="677" spans="1:22">
      <c r="A677" s="224"/>
      <c r="B677" s="224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</row>
    <row r="678" spans="1:22">
      <c r="A678" s="224"/>
      <c r="B678" s="224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</row>
    <row r="679" spans="1:22">
      <c r="A679" s="224"/>
      <c r="B679" s="224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</row>
    <row r="680" spans="1:22">
      <c r="A680" s="224"/>
      <c r="B680" s="224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</row>
    <row r="681" spans="1:22">
      <c r="A681" s="224"/>
      <c r="B681" s="224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</row>
    <row r="682" spans="1:22">
      <c r="A682" s="224"/>
      <c r="B682" s="224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</row>
    <row r="683" spans="1:22">
      <c r="A683" s="224"/>
      <c r="B683" s="224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</row>
    <row r="684" spans="1:22">
      <c r="A684" s="224"/>
      <c r="B684" s="224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</row>
    <row r="685" spans="1:22">
      <c r="A685" s="224"/>
      <c r="B685" s="224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</row>
    <row r="686" spans="1:22">
      <c r="A686" s="224"/>
      <c r="B686" s="224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</row>
    <row r="687" spans="1:22">
      <c r="A687" s="224"/>
      <c r="B687" s="224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</row>
    <row r="688" spans="1:22">
      <c r="A688" s="224"/>
      <c r="B688" s="224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</row>
    <row r="689" spans="1:22">
      <c r="A689" s="224"/>
      <c r="B689" s="224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</row>
    <row r="690" spans="1:22">
      <c r="A690" s="224"/>
      <c r="B690" s="224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</row>
    <row r="691" spans="1:22">
      <c r="A691" s="224"/>
      <c r="B691" s="224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</row>
    <row r="692" spans="1:22">
      <c r="A692" s="224"/>
      <c r="B692" s="224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</row>
    <row r="693" spans="1:22">
      <c r="A693" s="224"/>
      <c r="B693" s="224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</row>
    <row r="694" spans="1:22">
      <c r="A694" s="224"/>
      <c r="B694" s="224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</row>
    <row r="695" spans="1:22">
      <c r="A695" s="224"/>
      <c r="B695" s="224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</row>
    <row r="696" spans="1:22">
      <c r="A696" s="224"/>
      <c r="B696" s="224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</row>
    <row r="697" spans="1:22">
      <c r="A697" s="224"/>
      <c r="B697" s="224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</row>
    <row r="698" spans="1:22">
      <c r="A698" s="224"/>
      <c r="B698" s="224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</row>
    <row r="699" spans="1:22">
      <c r="A699" s="224"/>
      <c r="B699" s="224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</row>
    <row r="700" spans="1:22">
      <c r="A700" s="224"/>
      <c r="B700" s="224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</row>
    <row r="701" spans="1:22">
      <c r="A701" s="224"/>
      <c r="B701" s="224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</row>
    <row r="702" spans="1:22">
      <c r="A702" s="224"/>
      <c r="B702" s="224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</row>
    <row r="703" spans="1:22">
      <c r="A703" s="224"/>
      <c r="B703" s="224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</row>
    <row r="704" spans="1:22">
      <c r="A704" s="224"/>
      <c r="B704" s="224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</row>
    <row r="705" spans="1:22">
      <c r="A705" s="224"/>
      <c r="B705" s="224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</row>
    <row r="706" spans="1:22">
      <c r="A706" s="224"/>
      <c r="B706" s="224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</row>
    <row r="707" spans="1:22">
      <c r="A707" s="224"/>
      <c r="B707" s="224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</row>
    <row r="708" spans="1:22">
      <c r="A708" s="224"/>
      <c r="B708" s="224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</row>
    <row r="709" spans="1:22">
      <c r="A709" s="224"/>
      <c r="B709" s="224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</row>
    <row r="710" spans="1:22">
      <c r="A710" s="224"/>
      <c r="B710" s="224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</row>
    <row r="711" spans="1:22">
      <c r="A711" s="224"/>
      <c r="B711" s="224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</row>
    <row r="712" spans="1:22">
      <c r="A712" s="224"/>
      <c r="B712" s="224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</row>
    <row r="713" spans="1:22">
      <c r="A713" s="224"/>
      <c r="B713" s="224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</row>
    <row r="714" spans="1:22">
      <c r="A714" s="224"/>
      <c r="B714" s="224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</row>
    <row r="715" spans="1:22">
      <c r="A715" s="224"/>
      <c r="B715" s="224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</row>
    <row r="716" spans="1:22">
      <c r="A716" s="224"/>
      <c r="B716" s="224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</row>
    <row r="717" spans="1:22">
      <c r="A717" s="224"/>
      <c r="B717" s="224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</row>
    <row r="718" spans="1:22">
      <c r="A718" s="224"/>
      <c r="B718" s="224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</row>
    <row r="719" spans="1:22">
      <c r="A719" s="224"/>
      <c r="B719" s="224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</row>
    <row r="720" spans="1:22">
      <c r="A720" s="224"/>
      <c r="B720" s="224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</row>
    <row r="721" spans="1:22">
      <c r="A721" s="224"/>
      <c r="B721" s="224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</row>
    <row r="722" spans="1:22">
      <c r="A722" s="224"/>
      <c r="B722" s="224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</row>
    <row r="723" spans="1:22">
      <c r="A723" s="224"/>
      <c r="B723" s="224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</row>
    <row r="724" spans="1:22">
      <c r="A724" s="224"/>
      <c r="B724" s="224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</row>
    <row r="725" spans="1:22">
      <c r="A725" s="224"/>
      <c r="B725" s="224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</row>
    <row r="726" spans="1:22">
      <c r="A726" s="224"/>
      <c r="B726" s="224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</row>
    <row r="727" spans="1:22">
      <c r="A727" s="224"/>
      <c r="B727" s="224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</row>
    <row r="728" spans="1:22">
      <c r="A728" s="224"/>
      <c r="B728" s="224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</row>
    <row r="729" spans="1:22">
      <c r="A729" s="224"/>
      <c r="B729" s="224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</row>
    <row r="730" spans="1:22">
      <c r="A730" s="224"/>
      <c r="B730" s="224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</row>
    <row r="731" spans="1:22">
      <c r="A731" s="224"/>
      <c r="B731" s="224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</row>
    <row r="732" spans="1:22">
      <c r="A732" s="224"/>
      <c r="B732" s="224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</row>
    <row r="733" spans="1:22">
      <c r="A733" s="224"/>
      <c r="B733" s="224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</row>
    <row r="734" spans="1:22">
      <c r="A734" s="224"/>
      <c r="B734" s="224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</row>
    <row r="735" spans="1:22">
      <c r="A735" s="224"/>
      <c r="B735" s="224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</row>
    <row r="736" spans="1:22">
      <c r="A736" s="224"/>
      <c r="B736" s="224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</row>
    <row r="737" spans="1:22">
      <c r="A737" s="224"/>
      <c r="B737" s="224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</row>
    <row r="738" spans="1:22">
      <c r="A738" s="224"/>
      <c r="B738" s="224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</row>
    <row r="739" spans="1:22">
      <c r="A739" s="224"/>
      <c r="B739" s="224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</row>
    <row r="740" spans="1:22">
      <c r="A740" s="224"/>
      <c r="B740" s="224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</row>
    <row r="741" spans="1:22">
      <c r="A741" s="224"/>
      <c r="B741" s="224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</row>
    <row r="742" spans="1:22">
      <c r="A742" s="224"/>
      <c r="B742" s="224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</row>
    <row r="743" spans="1:22">
      <c r="A743" s="224"/>
      <c r="B743" s="224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</row>
    <row r="744" spans="1:22">
      <c r="A744" s="224"/>
      <c r="B744" s="224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</row>
    <row r="745" spans="1:22">
      <c r="A745" s="224"/>
      <c r="B745" s="224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</row>
    <row r="746" spans="1:22">
      <c r="A746" s="224"/>
      <c r="B746" s="224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</row>
    <row r="747" spans="1:22">
      <c r="A747" s="224"/>
      <c r="B747" s="224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</row>
    <row r="748" spans="1:22">
      <c r="A748" s="224"/>
      <c r="B748" s="224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</row>
    <row r="749" spans="1:22">
      <c r="A749" s="224"/>
      <c r="B749" s="224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</row>
    <row r="750" spans="1:22">
      <c r="A750" s="224"/>
      <c r="B750" s="224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</row>
    <row r="751" spans="1:22">
      <c r="A751" s="224"/>
      <c r="B751" s="224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</row>
    <row r="752" spans="1:22">
      <c r="A752" s="224"/>
      <c r="B752" s="224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</row>
    <row r="753" spans="1:22">
      <c r="A753" s="224"/>
      <c r="B753" s="224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</row>
    <row r="754" spans="1:22">
      <c r="A754" s="224"/>
      <c r="B754" s="224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</row>
    <row r="755" spans="1:22">
      <c r="A755" s="224"/>
      <c r="B755" s="224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</row>
    <row r="756" spans="1:22">
      <c r="A756" s="224"/>
      <c r="B756" s="224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</row>
    <row r="757" spans="1:22">
      <c r="A757" s="224"/>
      <c r="B757" s="224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</row>
    <row r="758" spans="1:22">
      <c r="A758" s="224"/>
      <c r="B758" s="224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</row>
    <row r="759" spans="1:22">
      <c r="A759" s="224"/>
      <c r="B759" s="224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</row>
    <row r="760" spans="1:22">
      <c r="A760" s="224"/>
      <c r="B760" s="224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</row>
    <row r="761" spans="1:22">
      <c r="A761" s="224"/>
      <c r="B761" s="224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</row>
    <row r="762" spans="1:22">
      <c r="A762" s="224"/>
      <c r="B762" s="224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</row>
    <row r="763" spans="1:22">
      <c r="A763" s="224"/>
      <c r="B763" s="224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</row>
    <row r="764" spans="1:22">
      <c r="A764" s="224"/>
      <c r="B764" s="224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</row>
    <row r="765" spans="1:22">
      <c r="A765" s="224"/>
      <c r="B765" s="224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</row>
    <row r="766" spans="1:22">
      <c r="A766" s="224"/>
      <c r="B766" s="224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</row>
    <row r="767" spans="1:22">
      <c r="A767" s="224"/>
      <c r="B767" s="224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</row>
    <row r="768" spans="1:22">
      <c r="A768" s="224"/>
      <c r="B768" s="224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</row>
    <row r="769" spans="1:22">
      <c r="A769" s="224"/>
      <c r="B769" s="224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</row>
    <row r="770" spans="1:22">
      <c r="A770" s="224"/>
      <c r="B770" s="224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</row>
    <row r="771" spans="1:22">
      <c r="A771" s="224"/>
      <c r="B771" s="224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</row>
    <row r="772" spans="1:22">
      <c r="A772" s="224"/>
      <c r="B772" s="224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</row>
    <row r="773" spans="1:22">
      <c r="A773" s="224"/>
      <c r="B773" s="224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</row>
    <row r="774" spans="1:22">
      <c r="A774" s="224"/>
      <c r="B774" s="224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</row>
    <row r="775" spans="1:22">
      <c r="A775" s="224"/>
      <c r="B775" s="224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</row>
    <row r="776" spans="1:22">
      <c r="A776" s="224"/>
      <c r="B776" s="224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</row>
    <row r="777" spans="1:22">
      <c r="A777" s="224"/>
      <c r="B777" s="224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</row>
    <row r="778" spans="1:22">
      <c r="A778" s="224"/>
      <c r="B778" s="224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</row>
    <row r="779" spans="1:22">
      <c r="A779" s="224"/>
      <c r="B779" s="224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</row>
    <row r="780" spans="1:22">
      <c r="A780" s="224"/>
      <c r="B780" s="224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</row>
    <row r="781" spans="1:22">
      <c r="A781" s="224"/>
      <c r="B781" s="224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</row>
    <row r="782" spans="1:22">
      <c r="A782" s="224"/>
      <c r="B782" s="224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</row>
    <row r="783" spans="1:22">
      <c r="A783" s="224"/>
      <c r="B783" s="224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</row>
    <row r="784" spans="1:22">
      <c r="A784" s="224"/>
      <c r="B784" s="224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</row>
    <row r="785" spans="1:22">
      <c r="A785" s="224"/>
      <c r="B785" s="224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</row>
    <row r="786" spans="1:22">
      <c r="A786" s="224"/>
      <c r="B786" s="224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</row>
    <row r="787" spans="1:22">
      <c r="A787" s="224"/>
      <c r="B787" s="224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</row>
    <row r="788" spans="1:22">
      <c r="A788" s="224"/>
      <c r="B788" s="224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</row>
    <row r="789" spans="1:22">
      <c r="A789" s="224"/>
      <c r="B789" s="224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</row>
    <row r="790" spans="1:22">
      <c r="A790" s="224"/>
      <c r="B790" s="224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</row>
    <row r="791" spans="1:22">
      <c r="A791" s="224"/>
      <c r="B791" s="224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</row>
    <row r="792" spans="1:22">
      <c r="A792" s="224"/>
      <c r="B792" s="224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</row>
    <row r="793" spans="1:22">
      <c r="A793" s="224"/>
      <c r="B793" s="224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</row>
    <row r="794" spans="1:22">
      <c r="A794" s="224"/>
      <c r="B794" s="224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</row>
    <row r="795" spans="1:22">
      <c r="A795" s="224"/>
      <c r="B795" s="224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</row>
    <row r="796" spans="1:22">
      <c r="A796" s="224"/>
      <c r="B796" s="224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</row>
    <row r="797" spans="1:22">
      <c r="A797" s="224"/>
      <c r="B797" s="224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</row>
    <row r="798" spans="1:22">
      <c r="A798" s="224"/>
      <c r="B798" s="224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</row>
    <row r="799" spans="1:22">
      <c r="A799" s="224"/>
      <c r="B799" s="224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</row>
    <row r="800" spans="1:22">
      <c r="A800" s="224"/>
      <c r="B800" s="224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</row>
    <row r="801" spans="1:22">
      <c r="A801" s="224"/>
      <c r="B801" s="224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</row>
    <row r="802" spans="1:22">
      <c r="A802" s="224"/>
      <c r="B802" s="224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</row>
    <row r="803" spans="1:22">
      <c r="A803" s="224"/>
      <c r="B803" s="224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</row>
    <row r="804" spans="1:22">
      <c r="A804" s="224"/>
      <c r="B804" s="224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</row>
    <row r="805" spans="1:22">
      <c r="A805" s="224"/>
      <c r="B805" s="224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</row>
    <row r="806" spans="1:22">
      <c r="A806" s="224"/>
      <c r="B806" s="224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</row>
    <row r="807" spans="1:22">
      <c r="A807" s="224"/>
      <c r="B807" s="224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</row>
    <row r="808" spans="1:22">
      <c r="A808" s="224"/>
      <c r="B808" s="224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</row>
    <row r="809" spans="1:22">
      <c r="A809" s="224"/>
      <c r="B809" s="224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</row>
    <row r="810" spans="1:22">
      <c r="A810" s="224"/>
      <c r="B810" s="224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</row>
    <row r="811" spans="1:22">
      <c r="A811" s="224"/>
      <c r="B811" s="224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</row>
    <row r="812" spans="1:22">
      <c r="A812" s="224"/>
      <c r="B812" s="224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</row>
    <row r="813" spans="1:22">
      <c r="A813" s="224"/>
      <c r="B813" s="224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</row>
    <row r="814" spans="1:22">
      <c r="A814" s="224"/>
      <c r="B814" s="224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</row>
    <row r="815" spans="1:22">
      <c r="A815" s="224"/>
      <c r="B815" s="224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</row>
    <row r="816" spans="1:22">
      <c r="A816" s="224"/>
      <c r="B816" s="224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</row>
    <row r="817" spans="1:22">
      <c r="A817" s="224"/>
      <c r="B817" s="224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</row>
    <row r="818" spans="1:22">
      <c r="A818" s="224"/>
      <c r="B818" s="224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</row>
    <row r="819" spans="1:22">
      <c r="A819" s="224"/>
      <c r="B819" s="224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</row>
    <row r="820" spans="1:22">
      <c r="A820" s="224"/>
      <c r="B820" s="224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</row>
    <row r="821" spans="1:22">
      <c r="A821" s="224"/>
      <c r="B821" s="224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</row>
    <row r="822" spans="1:22">
      <c r="A822" s="224"/>
      <c r="B822" s="224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</row>
    <row r="823" spans="1:22">
      <c r="A823" s="224"/>
      <c r="B823" s="224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</row>
    <row r="824" spans="1:22">
      <c r="A824" s="224"/>
      <c r="B824" s="224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</row>
    <row r="825" spans="1:22">
      <c r="A825" s="224"/>
      <c r="B825" s="224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</row>
    <row r="826" spans="1:22">
      <c r="A826" s="224"/>
      <c r="B826" s="224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</row>
    <row r="827" spans="1:22">
      <c r="A827" s="224"/>
      <c r="B827" s="224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</row>
    <row r="828" spans="1:22">
      <c r="A828" s="224"/>
      <c r="B828" s="224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</row>
    <row r="829" spans="1:22">
      <c r="A829" s="224"/>
      <c r="B829" s="224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</row>
    <row r="830" spans="1:22">
      <c r="A830" s="224"/>
      <c r="B830" s="224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</row>
    <row r="831" spans="1:22">
      <c r="A831" s="224"/>
      <c r="B831" s="224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</row>
    <row r="832" spans="1:22">
      <c r="A832" s="224"/>
      <c r="B832" s="224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</row>
    <row r="833" spans="1:22">
      <c r="A833" s="224"/>
      <c r="B833" s="224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</row>
    <row r="834" spans="1:22">
      <c r="A834" s="224"/>
      <c r="B834" s="224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</row>
    <row r="835" spans="1:22">
      <c r="A835" s="224"/>
      <c r="B835" s="224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</row>
    <row r="836" spans="1:22">
      <c r="A836" s="224"/>
      <c r="B836" s="224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</row>
    <row r="837" spans="1:22">
      <c r="A837" s="224"/>
      <c r="B837" s="224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</row>
    <row r="838" spans="1:22">
      <c r="A838" s="224"/>
      <c r="B838" s="224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</row>
    <row r="839" spans="1:22">
      <c r="A839" s="224"/>
      <c r="B839" s="224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</row>
    <row r="840" spans="1:22">
      <c r="A840" s="224"/>
      <c r="B840" s="224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</row>
    <row r="841" spans="1:22">
      <c r="A841" s="224"/>
      <c r="B841" s="224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</row>
    <row r="842" spans="1:22">
      <c r="A842" s="224"/>
      <c r="B842" s="224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</row>
    <row r="843" spans="1:22">
      <c r="A843" s="224"/>
      <c r="B843" s="224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</row>
    <row r="844" spans="1:22">
      <c r="A844" s="224"/>
      <c r="B844" s="224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</row>
    <row r="845" spans="1:22">
      <c r="A845" s="224"/>
      <c r="B845" s="224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</row>
    <row r="846" spans="1:22">
      <c r="A846" s="224"/>
      <c r="B846" s="224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</row>
    <row r="847" spans="1:22">
      <c r="A847" s="224"/>
      <c r="B847" s="224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</row>
    <row r="848" spans="1:22">
      <c r="A848" s="224"/>
      <c r="B848" s="224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</row>
    <row r="849" spans="1:22">
      <c r="A849" s="224"/>
      <c r="B849" s="224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</row>
    <row r="850" spans="1:22">
      <c r="A850" s="224"/>
      <c r="B850" s="224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</row>
    <row r="851" spans="1:22">
      <c r="A851" s="224"/>
      <c r="B851" s="224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</row>
    <row r="852" spans="1:22">
      <c r="A852" s="224"/>
      <c r="B852" s="224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</row>
    <row r="853" spans="1:22">
      <c r="A853" s="224"/>
      <c r="B853" s="224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</row>
    <row r="854" spans="1:22">
      <c r="A854" s="224"/>
      <c r="B854" s="224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</row>
    <row r="855" spans="1:22">
      <c r="A855" s="224"/>
      <c r="B855" s="224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</row>
    <row r="856" spans="1:22">
      <c r="A856" s="224"/>
      <c r="B856" s="224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</row>
    <row r="857" spans="1:22">
      <c r="A857" s="224"/>
      <c r="B857" s="224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</row>
    <row r="858" spans="1:22">
      <c r="A858" s="224"/>
      <c r="B858" s="224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</row>
    <row r="859" spans="1:22">
      <c r="A859" s="224"/>
      <c r="B859" s="224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</row>
    <row r="860" spans="1:22">
      <c r="A860" s="224"/>
      <c r="B860" s="224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</row>
    <row r="861" spans="1:22">
      <c r="A861" s="224"/>
      <c r="B861" s="224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</row>
    <row r="862" spans="1:22">
      <c r="A862" s="224"/>
      <c r="B862" s="224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</row>
    <row r="863" spans="1:22">
      <c r="A863" s="224"/>
      <c r="B863" s="224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</row>
    <row r="864" spans="1:22">
      <c r="A864" s="224"/>
      <c r="B864" s="224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</row>
    <row r="865" spans="1:22">
      <c r="A865" s="224"/>
      <c r="B865" s="224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</row>
    <row r="866" spans="1:22">
      <c r="A866" s="224"/>
      <c r="B866" s="224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</row>
    <row r="867" spans="1:22">
      <c r="A867" s="224"/>
      <c r="B867" s="224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</row>
    <row r="868" spans="1:22">
      <c r="A868" s="224"/>
      <c r="B868" s="224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</row>
    <row r="869" spans="1:22">
      <c r="A869" s="224"/>
      <c r="B869" s="224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</row>
    <row r="870" spans="1:22">
      <c r="A870" s="224"/>
      <c r="B870" s="224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</row>
    <row r="871" spans="1:22">
      <c r="A871" s="224"/>
      <c r="B871" s="224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</row>
    <row r="872" spans="1:22">
      <c r="A872" s="224"/>
      <c r="B872" s="224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</row>
    <row r="873" spans="1:22">
      <c r="A873" s="224"/>
      <c r="B873" s="224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</row>
    <row r="874" spans="1:22">
      <c r="A874" s="224"/>
      <c r="B874" s="224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</row>
    <row r="875" spans="1:22">
      <c r="A875" s="224"/>
      <c r="B875" s="224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</row>
    <row r="876" spans="1:22">
      <c r="A876" s="224"/>
      <c r="B876" s="224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</row>
    <row r="877" spans="1:22">
      <c r="A877" s="224"/>
      <c r="B877" s="224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</row>
    <row r="878" spans="1:22">
      <c r="A878" s="224"/>
      <c r="B878" s="224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</row>
    <row r="879" spans="1:22">
      <c r="A879" s="224"/>
      <c r="B879" s="224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</row>
    <row r="880" spans="1:22">
      <c r="A880" s="224"/>
      <c r="B880" s="224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</row>
    <row r="881" spans="1:22">
      <c r="A881" s="224"/>
      <c r="B881" s="224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</row>
    <row r="882" spans="1:22">
      <c r="A882" s="224"/>
      <c r="B882" s="224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</row>
    <row r="883" spans="1:22">
      <c r="A883" s="224"/>
      <c r="B883" s="224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</row>
    <row r="884" spans="1:22">
      <c r="A884" s="224"/>
      <c r="B884" s="224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</row>
    <row r="885" spans="1:22">
      <c r="A885" s="224"/>
      <c r="B885" s="224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</row>
    <row r="886" spans="1:22">
      <c r="A886" s="224"/>
      <c r="B886" s="224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</row>
    <row r="887" spans="1:22">
      <c r="A887" s="224"/>
      <c r="B887" s="224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</row>
    <row r="888" spans="1:22">
      <c r="A888" s="224"/>
      <c r="B888" s="224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</row>
    <row r="889" spans="1:22">
      <c r="A889" s="224"/>
      <c r="B889" s="224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</row>
    <row r="890" spans="1:22">
      <c r="A890" s="224"/>
      <c r="B890" s="224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</row>
    <row r="891" spans="1:22">
      <c r="A891" s="224"/>
      <c r="B891" s="224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</row>
    <row r="892" spans="1:22">
      <c r="A892" s="224"/>
      <c r="B892" s="224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</row>
    <row r="893" spans="1:22">
      <c r="A893" s="224"/>
      <c r="B893" s="224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</row>
    <row r="894" spans="1:22">
      <c r="A894" s="224"/>
      <c r="B894" s="224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</row>
    <row r="895" spans="1:22">
      <c r="A895" s="224"/>
      <c r="B895" s="224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</row>
    <row r="896" spans="1:22">
      <c r="A896" s="224"/>
      <c r="B896" s="224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</row>
    <row r="897" spans="1:22">
      <c r="A897" s="224"/>
      <c r="B897" s="224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</row>
    <row r="898" spans="1:22">
      <c r="A898" s="224"/>
      <c r="B898" s="224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</row>
    <row r="899" spans="1:22">
      <c r="A899" s="224"/>
      <c r="B899" s="224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</row>
    <row r="900" spans="1:22">
      <c r="A900" s="224"/>
      <c r="B900" s="224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</row>
    <row r="901" spans="1:22">
      <c r="A901" s="224"/>
      <c r="B901" s="224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</row>
    <row r="902" spans="1:22">
      <c r="A902" s="224"/>
      <c r="B902" s="224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</row>
    <row r="903" spans="1:22">
      <c r="A903" s="224"/>
      <c r="B903" s="224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</row>
    <row r="904" spans="1:22">
      <c r="A904" s="224"/>
      <c r="B904" s="224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</row>
    <row r="905" spans="1:22">
      <c r="A905" s="224"/>
      <c r="B905" s="224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</row>
    <row r="906" spans="1:22">
      <c r="A906" s="224"/>
      <c r="B906" s="224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</row>
    <row r="907" spans="1:22">
      <c r="A907" s="224"/>
      <c r="B907" s="224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</row>
    <row r="908" spans="1:22">
      <c r="A908" s="224"/>
      <c r="B908" s="224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</row>
    <row r="909" spans="1:22">
      <c r="A909" s="224"/>
      <c r="B909" s="224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</row>
    <row r="910" spans="1:22">
      <c r="A910" s="224"/>
      <c r="B910" s="224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</row>
    <row r="911" spans="1:22">
      <c r="A911" s="224"/>
      <c r="B911" s="224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</row>
    <row r="912" spans="1:22">
      <c r="A912" s="224"/>
      <c r="B912" s="224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</row>
    <row r="913" spans="1:22">
      <c r="A913" s="224"/>
      <c r="B913" s="224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</row>
    <row r="914" spans="1:22">
      <c r="A914" s="224"/>
      <c r="B914" s="224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</row>
    <row r="915" spans="1:22">
      <c r="A915" s="224"/>
      <c r="B915" s="224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</row>
    <row r="916" spans="1:22">
      <c r="A916" s="224"/>
      <c r="B916" s="224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</row>
    <row r="917" spans="1:22">
      <c r="A917" s="224"/>
      <c r="B917" s="224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</row>
    <row r="918" spans="1:22">
      <c r="A918" s="224"/>
      <c r="B918" s="224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</row>
    <row r="919" spans="1:22">
      <c r="A919" s="224"/>
      <c r="B919" s="224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</row>
    <row r="920" spans="1:22">
      <c r="A920" s="224"/>
      <c r="B920" s="224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</row>
    <row r="921" spans="1:22">
      <c r="A921" s="224"/>
      <c r="B921" s="224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</row>
    <row r="922" spans="1:22">
      <c r="A922" s="224"/>
      <c r="B922" s="224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</row>
    <row r="923" spans="1:22">
      <c r="A923" s="224"/>
      <c r="B923" s="224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</row>
    <row r="924" spans="1:22">
      <c r="A924" s="224"/>
      <c r="B924" s="224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</row>
    <row r="925" spans="1:22">
      <c r="A925" s="224"/>
      <c r="B925" s="224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</row>
    <row r="926" spans="1:22">
      <c r="A926" s="224"/>
      <c r="B926" s="224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</row>
    <row r="927" spans="1:22">
      <c r="A927" s="224"/>
      <c r="B927" s="224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</row>
    <row r="928" spans="1:22">
      <c r="A928" s="224"/>
      <c r="B928" s="224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</row>
    <row r="929" spans="1:22">
      <c r="A929" s="224"/>
      <c r="B929" s="224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</row>
    <row r="930" spans="1:22">
      <c r="A930" s="224"/>
      <c r="B930" s="224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</row>
    <row r="931" spans="1:22">
      <c r="A931" s="224"/>
      <c r="B931" s="224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</row>
    <row r="932" spans="1:22">
      <c r="A932" s="224"/>
      <c r="B932" s="224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</row>
    <row r="933" spans="1:22">
      <c r="A933" s="224"/>
      <c r="B933" s="224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</row>
    <row r="934" spans="1:22">
      <c r="A934" s="224"/>
      <c r="B934" s="224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</row>
    <row r="935" spans="1:22">
      <c r="A935" s="224"/>
      <c r="B935" s="224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</row>
    <row r="936" spans="1:22">
      <c r="A936" s="224"/>
      <c r="B936" s="224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</row>
    <row r="937" spans="1:22">
      <c r="A937" s="224"/>
      <c r="B937" s="224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</row>
    <row r="938" spans="1:22">
      <c r="A938" s="224"/>
      <c r="B938" s="224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</row>
    <row r="939" spans="1:22">
      <c r="A939" s="224"/>
      <c r="B939" s="224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</row>
    <row r="940" spans="1:22">
      <c r="A940" s="224"/>
      <c r="B940" s="224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</row>
    <row r="941" spans="1:22">
      <c r="A941" s="224"/>
      <c r="B941" s="224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</row>
    <row r="942" spans="1:22">
      <c r="A942" s="224"/>
      <c r="B942" s="224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</row>
    <row r="943" spans="1:22">
      <c r="A943" s="224"/>
      <c r="B943" s="224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</row>
    <row r="944" spans="1:22">
      <c r="A944" s="224"/>
      <c r="B944" s="224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</row>
    <row r="945" spans="1:22">
      <c r="A945" s="224"/>
      <c r="B945" s="224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</row>
    <row r="946" spans="1:22">
      <c r="A946" s="224"/>
      <c r="B946" s="224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</row>
    <row r="947" spans="1:22">
      <c r="A947" s="224"/>
      <c r="B947" s="224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</row>
    <row r="948" spans="1:22">
      <c r="A948" s="224"/>
      <c r="B948" s="224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</row>
    <row r="949" spans="1:22">
      <c r="A949" s="224"/>
      <c r="B949" s="224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</row>
    <row r="950" spans="1:22">
      <c r="A950" s="224"/>
      <c r="B950" s="224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</row>
    <row r="951" spans="1:22">
      <c r="A951" s="224"/>
      <c r="B951" s="224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</row>
    <row r="952" spans="1:22">
      <c r="A952" s="224"/>
      <c r="B952" s="224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</row>
    <row r="953" spans="1:22">
      <c r="A953" s="224"/>
      <c r="B953" s="224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</row>
    <row r="954" spans="1:22">
      <c r="A954" s="224"/>
      <c r="B954" s="224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</row>
    <row r="955" spans="1:22">
      <c r="A955" s="224"/>
      <c r="B955" s="224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</row>
    <row r="956" spans="1:22">
      <c r="A956" s="224"/>
      <c r="B956" s="224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</row>
    <row r="957" spans="1:22">
      <c r="A957" s="224"/>
      <c r="B957" s="224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</row>
    <row r="958" spans="1:22">
      <c r="A958" s="224"/>
      <c r="B958" s="224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</row>
    <row r="959" spans="1:22">
      <c r="A959" s="224"/>
      <c r="B959" s="224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</row>
    <row r="960" spans="1:22">
      <c r="A960" s="224"/>
      <c r="B960" s="224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</row>
    <row r="961" spans="1:22">
      <c r="A961" s="224"/>
      <c r="B961" s="224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</row>
    <row r="962" spans="1:22">
      <c r="A962" s="224"/>
      <c r="B962" s="224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</row>
    <row r="963" spans="1:22">
      <c r="A963" s="224"/>
      <c r="B963" s="224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</row>
    <row r="964" spans="1:22">
      <c r="A964" s="224"/>
      <c r="B964" s="224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</row>
    <row r="965" spans="1:22">
      <c r="A965" s="224"/>
      <c r="B965" s="224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</row>
    <row r="966" spans="1:22">
      <c r="A966" s="224"/>
      <c r="B966" s="224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</row>
    <row r="967" spans="1:22">
      <c r="A967" s="224"/>
      <c r="B967" s="224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</row>
    <row r="968" spans="1:22">
      <c r="A968" s="224"/>
      <c r="B968" s="224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</row>
    <row r="969" spans="1:22">
      <c r="A969" s="224"/>
      <c r="B969" s="224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</row>
    <row r="970" spans="1:22">
      <c r="A970" s="224"/>
      <c r="B970" s="224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</row>
    <row r="971" spans="1:22">
      <c r="A971" s="224"/>
      <c r="B971" s="224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</row>
    <row r="972" spans="1:22">
      <c r="A972" s="224"/>
      <c r="B972" s="224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</row>
    <row r="973" spans="1:22">
      <c r="A973" s="224"/>
      <c r="B973" s="224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</row>
    <row r="974" spans="1:22">
      <c r="A974" s="224"/>
      <c r="B974" s="224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</row>
    <row r="975" spans="1:22">
      <c r="A975" s="224"/>
      <c r="B975" s="224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</row>
    <row r="976" spans="1:22">
      <c r="A976" s="224"/>
      <c r="B976" s="224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</row>
    <row r="977" spans="1:22">
      <c r="A977" s="224"/>
      <c r="B977" s="224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</row>
    <row r="978" spans="1:22">
      <c r="A978" s="224"/>
      <c r="B978" s="224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</row>
    <row r="979" spans="1:22">
      <c r="A979" s="224"/>
      <c r="B979" s="224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</row>
    <row r="980" spans="1:22">
      <c r="A980" s="224"/>
      <c r="B980" s="224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</row>
    <row r="981" spans="1:22">
      <c r="A981" s="224"/>
      <c r="B981" s="224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</row>
    <row r="982" spans="1:22">
      <c r="A982" s="224"/>
      <c r="B982" s="224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</row>
    <row r="983" spans="1:22">
      <c r="A983" s="224"/>
      <c r="B983" s="224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</row>
    <row r="984" spans="1:22">
      <c r="A984" s="224"/>
      <c r="B984" s="224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</row>
    <row r="985" spans="1:22">
      <c r="A985" s="224"/>
      <c r="B985" s="224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</row>
    <row r="986" spans="1:22">
      <c r="A986" s="224"/>
      <c r="B986" s="224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</row>
    <row r="987" spans="1:22">
      <c r="A987" s="224"/>
      <c r="B987" s="224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</row>
    <row r="988" spans="1:22">
      <c r="A988" s="224"/>
      <c r="B988" s="224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</row>
    <row r="989" spans="1:22">
      <c r="A989" s="224"/>
      <c r="B989" s="224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</row>
    <row r="990" spans="1:22">
      <c r="A990" s="224"/>
      <c r="B990" s="224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</row>
    <row r="991" spans="1:22">
      <c r="A991" s="224"/>
      <c r="B991" s="224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</row>
    <row r="992" spans="1:22">
      <c r="A992" s="224"/>
      <c r="B992" s="224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</row>
    <row r="993" spans="1:22">
      <c r="A993" s="224"/>
      <c r="B993" s="224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</row>
    <row r="994" spans="1:22">
      <c r="A994" s="224"/>
      <c r="B994" s="224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</row>
    <row r="995" spans="1:22">
      <c r="A995" s="224"/>
      <c r="B995" s="224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</row>
    <row r="996" spans="1:22">
      <c r="A996" s="224"/>
      <c r="B996" s="224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</row>
    <row r="997" spans="1:22">
      <c r="A997" s="224"/>
      <c r="B997" s="224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</row>
    <row r="998" spans="1:22">
      <c r="A998" s="224"/>
      <c r="B998" s="224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</row>
    <row r="999" spans="1:22">
      <c r="A999" s="224"/>
      <c r="B999" s="224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</row>
    <row r="1000" spans="1:22">
      <c r="A1000" s="224"/>
      <c r="B1000" s="224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</row>
  </sheetData>
  <mergeCells count="78">
    <mergeCell ref="S51:S52"/>
    <mergeCell ref="U51:U52"/>
    <mergeCell ref="A62:B62"/>
    <mergeCell ref="J62:P62"/>
    <mergeCell ref="Q62:U62"/>
    <mergeCell ref="Q53:R53"/>
    <mergeCell ref="S53:U54"/>
    <mergeCell ref="A57:A59"/>
    <mergeCell ref="B57:B59"/>
    <mergeCell ref="A61:B61"/>
    <mergeCell ref="C61:G61"/>
    <mergeCell ref="Q61:U61"/>
    <mergeCell ref="A41:B41"/>
    <mergeCell ref="C41:G41"/>
    <mergeCell ref="C42:G44"/>
    <mergeCell ref="A48:B48"/>
    <mergeCell ref="C48:G48"/>
    <mergeCell ref="I49:J49"/>
    <mergeCell ref="U35:U36"/>
    <mergeCell ref="G36:G38"/>
    <mergeCell ref="S37:S38"/>
    <mergeCell ref="U37:U38"/>
    <mergeCell ref="S39:S40"/>
    <mergeCell ref="U39:U40"/>
    <mergeCell ref="S35:S36"/>
    <mergeCell ref="M49:P49"/>
    <mergeCell ref="Q49:R49"/>
    <mergeCell ref="S49:S50"/>
    <mergeCell ref="U49:U50"/>
    <mergeCell ref="C33:C38"/>
    <mergeCell ref="D33:D38"/>
    <mergeCell ref="E33:E38"/>
    <mergeCell ref="F33:F38"/>
    <mergeCell ref="G33:G35"/>
    <mergeCell ref="Q28:U28"/>
    <mergeCell ref="A29:B29"/>
    <mergeCell ref="C29:G29"/>
    <mergeCell ref="A30:B30"/>
    <mergeCell ref="C30:G30"/>
    <mergeCell ref="H28:L28"/>
    <mergeCell ref="M28:P28"/>
    <mergeCell ref="A31:B31"/>
    <mergeCell ref="C31:G31"/>
    <mergeCell ref="A19:A27"/>
    <mergeCell ref="B19:B27"/>
    <mergeCell ref="A28:B28"/>
    <mergeCell ref="C28:G28"/>
    <mergeCell ref="S15:S16"/>
    <mergeCell ref="T15:T16"/>
    <mergeCell ref="U15:U16"/>
    <mergeCell ref="S17:S18"/>
    <mergeCell ref="T17:T18"/>
    <mergeCell ref="U17:U18"/>
    <mergeCell ref="A7:A12"/>
    <mergeCell ref="B7:B12"/>
    <mergeCell ref="A13:A14"/>
    <mergeCell ref="B13:B14"/>
    <mergeCell ref="A15:A18"/>
    <mergeCell ref="B15:B18"/>
    <mergeCell ref="A4:B4"/>
    <mergeCell ref="C4:G4"/>
    <mergeCell ref="A5:B5"/>
    <mergeCell ref="C5:G5"/>
    <mergeCell ref="A6:B6"/>
    <mergeCell ref="C6:G6"/>
    <mergeCell ref="M1:P1"/>
    <mergeCell ref="Q1:R1"/>
    <mergeCell ref="S1:U1"/>
    <mergeCell ref="A3:B3"/>
    <mergeCell ref="C3:D3"/>
    <mergeCell ref="C1:G1"/>
    <mergeCell ref="I1:J1"/>
    <mergeCell ref="K1:L1"/>
    <mergeCell ref="A2:B2"/>
    <mergeCell ref="C2:G2"/>
    <mergeCell ref="I2:P2"/>
    <mergeCell ref="Q2:R2"/>
    <mergeCell ref="S2:U2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61"/>
  <sheetViews>
    <sheetView workbookViewId="0">
      <pane ySplit="2" topLeftCell="A3" activePane="bottomLeft" state="frozen"/>
      <selection activeCell="A9" sqref="A9:XFD10"/>
      <selection pane="bottomLeft" activeCell="C13" sqref="C13"/>
    </sheetView>
  </sheetViews>
  <sheetFormatPr defaultRowHeight="15"/>
  <cols>
    <col min="1" max="1" width="3.85546875" bestFit="1" customWidth="1"/>
    <col min="2" max="2" width="29.85546875" bestFit="1" customWidth="1"/>
    <col min="3" max="3" width="19.42578125" bestFit="1" customWidth="1"/>
    <col min="4" max="4" width="7.5703125" bestFit="1" customWidth="1"/>
    <col min="5" max="5" width="4" bestFit="1" customWidth="1"/>
    <col min="6" max="6" width="4" customWidth="1"/>
    <col min="7" max="10" width="4.28515625" bestFit="1" customWidth="1"/>
    <col min="11" max="11" width="3.5703125" bestFit="1" customWidth="1"/>
    <col min="12" max="14" width="4.28515625" bestFit="1" customWidth="1"/>
    <col min="15" max="15" width="3.5703125" bestFit="1" customWidth="1"/>
    <col min="16" max="17" width="4.28515625" customWidth="1"/>
    <col min="18" max="18" width="4.28515625" bestFit="1" customWidth="1"/>
    <col min="19" max="19" width="4.28515625" customWidth="1"/>
    <col min="20" max="20" width="4.28515625" bestFit="1" customWidth="1"/>
    <col min="21" max="21" width="3.28515625" bestFit="1" customWidth="1"/>
    <col min="22" max="22" width="4.28515625" customWidth="1"/>
    <col min="23" max="23" width="3.28515625" bestFit="1" customWidth="1"/>
    <col min="24" max="24" width="5.28515625" bestFit="1" customWidth="1"/>
  </cols>
  <sheetData>
    <row r="1" spans="1:24" ht="15.75" thickBot="1">
      <c r="A1" s="229"/>
      <c r="B1" s="229"/>
      <c r="C1" s="229"/>
      <c r="D1" s="229"/>
      <c r="E1" s="517" t="s">
        <v>1173</v>
      </c>
      <c r="F1" s="517"/>
      <c r="G1" s="517"/>
      <c r="H1" s="517"/>
      <c r="I1" s="517"/>
      <c r="J1" s="517"/>
      <c r="K1" s="518" t="s">
        <v>1174</v>
      </c>
      <c r="L1" s="518"/>
      <c r="M1" s="518"/>
      <c r="N1" s="517" t="s">
        <v>1175</v>
      </c>
      <c r="O1" s="517"/>
      <c r="P1" s="517"/>
      <c r="Q1" s="517"/>
      <c r="R1" s="517"/>
      <c r="S1" s="518" t="s">
        <v>1176</v>
      </c>
      <c r="T1" s="518"/>
      <c r="U1" s="519" t="s">
        <v>39</v>
      </c>
      <c r="V1" s="517" t="s">
        <v>1177</v>
      </c>
      <c r="W1" s="517"/>
      <c r="X1" s="516" t="s">
        <v>1178</v>
      </c>
    </row>
    <row r="2" spans="1:24" ht="38.25">
      <c r="A2" s="230" t="s">
        <v>1</v>
      </c>
      <c r="B2" s="231" t="s">
        <v>24</v>
      </c>
      <c r="C2" s="231" t="s">
        <v>23</v>
      </c>
      <c r="D2" s="231" t="s">
        <v>1179</v>
      </c>
      <c r="E2" s="232" t="s">
        <v>1180</v>
      </c>
      <c r="F2" s="232" t="s">
        <v>1181</v>
      </c>
      <c r="G2" s="232" t="s">
        <v>1182</v>
      </c>
      <c r="H2" s="232" t="s">
        <v>1183</v>
      </c>
      <c r="I2" s="232" t="s">
        <v>1184</v>
      </c>
      <c r="J2" s="232" t="s">
        <v>1185</v>
      </c>
      <c r="K2" s="231" t="s">
        <v>1186</v>
      </c>
      <c r="L2" s="231" t="s">
        <v>1187</v>
      </c>
      <c r="M2" s="231" t="s">
        <v>1188</v>
      </c>
      <c r="N2" s="232" t="s">
        <v>1189</v>
      </c>
      <c r="O2" s="232" t="s">
        <v>1186</v>
      </c>
      <c r="P2" s="232" t="s">
        <v>1187</v>
      </c>
      <c r="Q2" s="232" t="s">
        <v>1190</v>
      </c>
      <c r="R2" s="232" t="s">
        <v>1188</v>
      </c>
      <c r="S2" s="231" t="s">
        <v>1191</v>
      </c>
      <c r="T2" s="231" t="s">
        <v>1190</v>
      </c>
      <c r="U2" s="520"/>
      <c r="V2" s="232" t="s">
        <v>1192</v>
      </c>
      <c r="W2" s="232" t="s">
        <v>1193</v>
      </c>
      <c r="X2" s="516"/>
    </row>
    <row r="3" spans="1:24">
      <c r="A3" s="233">
        <v>1</v>
      </c>
      <c r="B3" s="234" t="s">
        <v>574</v>
      </c>
      <c r="C3" s="234" t="s">
        <v>663</v>
      </c>
      <c r="D3" s="235" t="s">
        <v>1193</v>
      </c>
      <c r="E3" s="236" t="s">
        <v>1194</v>
      </c>
      <c r="F3" s="236"/>
      <c r="G3" s="236"/>
      <c r="H3" s="236"/>
      <c r="I3" s="236"/>
      <c r="J3" s="236"/>
      <c r="K3" s="235"/>
      <c r="L3" s="235"/>
      <c r="M3" s="235"/>
      <c r="N3" s="236"/>
      <c r="O3" s="236"/>
      <c r="P3" s="236"/>
      <c r="Q3" s="236"/>
      <c r="R3" s="236"/>
      <c r="S3" s="235"/>
      <c r="T3" s="235"/>
      <c r="U3" s="235"/>
      <c r="V3" s="236"/>
      <c r="W3" s="236"/>
      <c r="X3" s="229">
        <f>COUNTIF(E3:W3,"x")</f>
        <v>1</v>
      </c>
    </row>
    <row r="4" spans="1:24">
      <c r="A4" s="233">
        <v>2</v>
      </c>
      <c r="B4" s="234" t="s">
        <v>574</v>
      </c>
      <c r="C4" s="234" t="s">
        <v>776</v>
      </c>
      <c r="D4" s="235" t="s">
        <v>1193</v>
      </c>
      <c r="E4" s="236"/>
      <c r="F4" s="236"/>
      <c r="G4" s="236"/>
      <c r="H4" s="236"/>
      <c r="I4" s="236"/>
      <c r="J4" s="236"/>
      <c r="K4" s="235" t="s">
        <v>1194</v>
      </c>
      <c r="L4" s="235"/>
      <c r="M4" s="235"/>
      <c r="N4" s="236"/>
      <c r="O4" s="236"/>
      <c r="P4" s="236"/>
      <c r="Q4" s="236"/>
      <c r="R4" s="236"/>
      <c r="S4" s="235"/>
      <c r="T4" s="235"/>
      <c r="U4" s="235"/>
      <c r="V4" s="236"/>
      <c r="W4" s="236"/>
      <c r="X4" s="229">
        <f t="shared" ref="X4:X67" si="0">COUNTIF(E4:W4,"x")</f>
        <v>1</v>
      </c>
    </row>
    <row r="5" spans="1:24">
      <c r="A5" s="233">
        <v>3</v>
      </c>
      <c r="B5" s="234" t="s">
        <v>574</v>
      </c>
      <c r="C5" s="234" t="s">
        <v>779</v>
      </c>
      <c r="D5" s="235" t="s">
        <v>1193</v>
      </c>
      <c r="E5" s="236"/>
      <c r="F5" s="236"/>
      <c r="G5" s="236"/>
      <c r="H5" s="236"/>
      <c r="I5" s="236"/>
      <c r="J5" s="236"/>
      <c r="K5" s="235" t="s">
        <v>1194</v>
      </c>
      <c r="L5" s="235"/>
      <c r="M5" s="235"/>
      <c r="N5" s="236"/>
      <c r="O5" s="236"/>
      <c r="P5" s="236"/>
      <c r="Q5" s="236"/>
      <c r="R5" s="236"/>
      <c r="S5" s="235"/>
      <c r="T5" s="235"/>
      <c r="U5" s="235"/>
      <c r="V5" s="236"/>
      <c r="W5" s="236"/>
      <c r="X5" s="229">
        <f t="shared" si="0"/>
        <v>1</v>
      </c>
    </row>
    <row r="6" spans="1:24">
      <c r="A6" s="233">
        <v>4</v>
      </c>
      <c r="B6" s="234" t="s">
        <v>574</v>
      </c>
      <c r="C6" s="234" t="s">
        <v>573</v>
      </c>
      <c r="D6" s="235" t="s">
        <v>1192</v>
      </c>
      <c r="E6" s="236"/>
      <c r="F6" s="236"/>
      <c r="G6" s="236"/>
      <c r="H6" s="236" t="s">
        <v>1194</v>
      </c>
      <c r="I6" s="236"/>
      <c r="J6" s="236"/>
      <c r="K6" s="235"/>
      <c r="L6" s="235"/>
      <c r="M6" s="235"/>
      <c r="N6" s="236"/>
      <c r="O6" s="236"/>
      <c r="P6" s="236"/>
      <c r="Q6" s="236"/>
      <c r="R6" s="236"/>
      <c r="S6" s="235"/>
      <c r="T6" s="235"/>
      <c r="U6" s="235"/>
      <c r="V6" s="236"/>
      <c r="W6" s="236"/>
      <c r="X6" s="229">
        <f t="shared" si="0"/>
        <v>1</v>
      </c>
    </row>
    <row r="7" spans="1:24">
      <c r="A7" s="233">
        <v>5</v>
      </c>
      <c r="B7" s="234" t="s">
        <v>611</v>
      </c>
      <c r="C7" s="234" t="s">
        <v>845</v>
      </c>
      <c r="D7" s="235" t="s">
        <v>1193</v>
      </c>
      <c r="E7" s="236"/>
      <c r="F7" s="236"/>
      <c r="G7" s="236"/>
      <c r="H7" s="236"/>
      <c r="I7" s="236"/>
      <c r="J7" s="236"/>
      <c r="K7" s="235"/>
      <c r="L7" s="235"/>
      <c r="M7" s="235"/>
      <c r="N7" s="236" t="s">
        <v>1194</v>
      </c>
      <c r="O7" s="236"/>
      <c r="P7" s="236"/>
      <c r="Q7" s="236"/>
      <c r="R7" s="236"/>
      <c r="S7" s="235"/>
      <c r="T7" s="235"/>
      <c r="U7" s="235"/>
      <c r="V7" s="236"/>
      <c r="W7" s="236"/>
      <c r="X7" s="229">
        <f t="shared" si="0"/>
        <v>1</v>
      </c>
    </row>
    <row r="8" spans="1:24">
      <c r="A8" s="233">
        <v>6</v>
      </c>
      <c r="B8" s="234" t="s">
        <v>611</v>
      </c>
      <c r="C8" s="234" t="s">
        <v>702</v>
      </c>
      <c r="D8" s="235" t="s">
        <v>1192</v>
      </c>
      <c r="E8" s="236"/>
      <c r="F8" s="236"/>
      <c r="G8" s="236"/>
      <c r="H8" s="236"/>
      <c r="I8" s="236"/>
      <c r="J8" s="236"/>
      <c r="K8" s="235"/>
      <c r="L8" s="235"/>
      <c r="M8" s="235"/>
      <c r="N8" s="236"/>
      <c r="O8" s="236"/>
      <c r="P8" s="236"/>
      <c r="Q8" s="236"/>
      <c r="R8" s="236" t="s">
        <v>1194</v>
      </c>
      <c r="S8" s="235"/>
      <c r="T8" s="235"/>
      <c r="U8" s="235"/>
      <c r="V8" s="236"/>
      <c r="W8" s="236"/>
      <c r="X8" s="229">
        <f t="shared" si="0"/>
        <v>1</v>
      </c>
    </row>
    <row r="9" spans="1:24">
      <c r="A9" s="233">
        <v>7</v>
      </c>
      <c r="B9" s="234" t="s">
        <v>611</v>
      </c>
      <c r="C9" s="234" t="s">
        <v>704</v>
      </c>
      <c r="D9" s="235" t="s">
        <v>1192</v>
      </c>
      <c r="E9" s="236"/>
      <c r="F9" s="236"/>
      <c r="G9" s="236"/>
      <c r="H9" s="236"/>
      <c r="I9" s="236"/>
      <c r="J9" s="236"/>
      <c r="K9" s="235"/>
      <c r="L9" s="235"/>
      <c r="M9" s="235"/>
      <c r="N9" s="236"/>
      <c r="O9" s="236"/>
      <c r="P9" s="236"/>
      <c r="Q9" s="236"/>
      <c r="R9" s="236" t="s">
        <v>1194</v>
      </c>
      <c r="S9" s="235"/>
      <c r="T9" s="235"/>
      <c r="U9" s="235"/>
      <c r="V9" s="236"/>
      <c r="W9" s="236"/>
      <c r="X9" s="229">
        <f t="shared" si="0"/>
        <v>1</v>
      </c>
    </row>
    <row r="10" spans="1:24">
      <c r="A10" s="233">
        <v>8</v>
      </c>
      <c r="B10" s="234" t="s">
        <v>611</v>
      </c>
      <c r="C10" s="234" t="s">
        <v>610</v>
      </c>
      <c r="D10" s="235" t="s">
        <v>1192</v>
      </c>
      <c r="E10" s="236"/>
      <c r="F10" s="236"/>
      <c r="G10" s="236"/>
      <c r="H10" s="236"/>
      <c r="I10" s="236" t="s">
        <v>1194</v>
      </c>
      <c r="J10" s="236"/>
      <c r="K10" s="235"/>
      <c r="L10" s="235"/>
      <c r="M10" s="235"/>
      <c r="N10" s="236"/>
      <c r="O10" s="236"/>
      <c r="P10" s="236"/>
      <c r="Q10" s="236"/>
      <c r="R10" s="236"/>
      <c r="S10" s="235"/>
      <c r="T10" s="235"/>
      <c r="U10" s="235"/>
      <c r="V10" s="236"/>
      <c r="W10" s="236"/>
      <c r="X10" s="229">
        <f t="shared" si="0"/>
        <v>1</v>
      </c>
    </row>
    <row r="11" spans="1:24">
      <c r="A11" s="233">
        <v>9</v>
      </c>
      <c r="B11" s="234" t="s">
        <v>473</v>
      </c>
      <c r="C11" s="234" t="s">
        <v>472</v>
      </c>
      <c r="D11" s="235" t="s">
        <v>1192</v>
      </c>
      <c r="E11" s="236"/>
      <c r="F11" s="236"/>
      <c r="G11" s="236"/>
      <c r="H11" s="236"/>
      <c r="I11" s="236"/>
      <c r="J11" s="236"/>
      <c r="K11" s="235"/>
      <c r="L11" s="235"/>
      <c r="M11" s="235"/>
      <c r="N11" s="236"/>
      <c r="O11" s="236"/>
      <c r="P11" s="236"/>
      <c r="Q11" s="236"/>
      <c r="R11" s="236"/>
      <c r="S11" s="235"/>
      <c r="T11" s="235" t="s">
        <v>1194</v>
      </c>
      <c r="U11" s="235"/>
      <c r="V11" s="236"/>
      <c r="W11" s="236"/>
      <c r="X11" s="229">
        <f t="shared" si="0"/>
        <v>1</v>
      </c>
    </row>
    <row r="12" spans="1:24">
      <c r="A12" s="233">
        <v>10</v>
      </c>
      <c r="B12" s="234" t="s">
        <v>818</v>
      </c>
      <c r="C12" s="234" t="s">
        <v>821</v>
      </c>
      <c r="D12" s="235" t="s">
        <v>1192</v>
      </c>
      <c r="E12" s="236"/>
      <c r="F12" s="236"/>
      <c r="G12" s="236"/>
      <c r="H12" s="236"/>
      <c r="I12" s="236"/>
      <c r="J12" s="236"/>
      <c r="K12" s="235"/>
      <c r="L12" s="235"/>
      <c r="M12" s="235" t="s">
        <v>1194</v>
      </c>
      <c r="N12" s="236"/>
      <c r="O12" s="236"/>
      <c r="P12" s="236"/>
      <c r="Q12" s="236"/>
      <c r="R12" s="236"/>
      <c r="S12" s="235"/>
      <c r="T12" s="235"/>
      <c r="U12" s="235"/>
      <c r="V12" s="236"/>
      <c r="W12" s="236"/>
      <c r="X12" s="229">
        <f t="shared" si="0"/>
        <v>1</v>
      </c>
    </row>
    <row r="13" spans="1:24">
      <c r="A13" s="233">
        <v>11</v>
      </c>
      <c r="B13" s="234" t="s">
        <v>818</v>
      </c>
      <c r="C13" s="234" t="s">
        <v>817</v>
      </c>
      <c r="D13" s="235" t="s">
        <v>1192</v>
      </c>
      <c r="E13" s="236"/>
      <c r="F13" s="236"/>
      <c r="G13" s="236"/>
      <c r="H13" s="236"/>
      <c r="I13" s="236"/>
      <c r="J13" s="236"/>
      <c r="K13" s="235"/>
      <c r="L13" s="235"/>
      <c r="M13" s="235" t="s">
        <v>1194</v>
      </c>
      <c r="N13" s="236"/>
      <c r="O13" s="236"/>
      <c r="P13" s="236"/>
      <c r="Q13" s="236"/>
      <c r="R13" s="236"/>
      <c r="S13" s="235"/>
      <c r="T13" s="235"/>
      <c r="U13" s="235"/>
      <c r="V13" s="236"/>
      <c r="W13" s="236"/>
      <c r="X13" s="229">
        <f t="shared" si="0"/>
        <v>1</v>
      </c>
    </row>
    <row r="14" spans="1:24">
      <c r="A14" s="233">
        <v>12</v>
      </c>
      <c r="B14" s="234" t="s">
        <v>581</v>
      </c>
      <c r="C14" s="234" t="s">
        <v>576</v>
      </c>
      <c r="D14" s="235" t="s">
        <v>1192</v>
      </c>
      <c r="E14" s="236"/>
      <c r="F14" s="236"/>
      <c r="G14" s="236"/>
      <c r="H14" s="236" t="s">
        <v>1194</v>
      </c>
      <c r="I14" s="236"/>
      <c r="J14" s="236"/>
      <c r="K14" s="235"/>
      <c r="L14" s="235"/>
      <c r="M14" s="235"/>
      <c r="N14" s="236"/>
      <c r="O14" s="236"/>
      <c r="P14" s="236"/>
      <c r="Q14" s="236"/>
      <c r="R14" s="236"/>
      <c r="S14" s="235"/>
      <c r="T14" s="235"/>
      <c r="U14" s="235"/>
      <c r="V14" s="236"/>
      <c r="W14" s="236"/>
      <c r="X14" s="229">
        <f t="shared" si="0"/>
        <v>1</v>
      </c>
    </row>
    <row r="15" spans="1:24">
      <c r="A15" s="233">
        <v>13</v>
      </c>
      <c r="B15" s="234" t="s">
        <v>477</v>
      </c>
      <c r="C15" s="234" t="s">
        <v>730</v>
      </c>
      <c r="D15" s="235" t="s">
        <v>1193</v>
      </c>
      <c r="E15" s="236"/>
      <c r="F15" s="236"/>
      <c r="G15" s="236"/>
      <c r="H15" s="236"/>
      <c r="I15" s="236"/>
      <c r="J15" s="236"/>
      <c r="K15" s="235"/>
      <c r="L15" s="235"/>
      <c r="M15" s="235"/>
      <c r="N15" s="236"/>
      <c r="O15" s="236"/>
      <c r="P15" s="236" t="s">
        <v>1194</v>
      </c>
      <c r="Q15" s="236"/>
      <c r="R15" s="236"/>
      <c r="S15" s="235"/>
      <c r="T15" s="235"/>
      <c r="U15" s="235"/>
      <c r="V15" s="236"/>
      <c r="W15" s="236"/>
      <c r="X15" s="229">
        <f t="shared" si="0"/>
        <v>1</v>
      </c>
    </row>
    <row r="16" spans="1:24">
      <c r="A16" s="233">
        <v>14</v>
      </c>
      <c r="B16" s="234" t="s">
        <v>477</v>
      </c>
      <c r="C16" s="234" t="s">
        <v>476</v>
      </c>
      <c r="D16" s="235" t="s">
        <v>1192</v>
      </c>
      <c r="E16" s="236"/>
      <c r="F16" s="236"/>
      <c r="G16" s="236"/>
      <c r="H16" s="236"/>
      <c r="I16" s="236"/>
      <c r="J16" s="236"/>
      <c r="K16" s="235"/>
      <c r="L16" s="235"/>
      <c r="M16" s="235"/>
      <c r="N16" s="236"/>
      <c r="O16" s="236"/>
      <c r="P16" s="236"/>
      <c r="Q16" s="236"/>
      <c r="R16" s="236"/>
      <c r="S16" s="235"/>
      <c r="T16" s="235" t="s">
        <v>1194</v>
      </c>
      <c r="U16" s="235"/>
      <c r="V16" s="236"/>
      <c r="W16" s="236"/>
      <c r="X16" s="229">
        <f t="shared" si="0"/>
        <v>1</v>
      </c>
    </row>
    <row r="17" spans="1:24">
      <c r="A17" s="233">
        <v>15</v>
      </c>
      <c r="B17" s="234" t="s">
        <v>477</v>
      </c>
      <c r="C17" s="234" t="s">
        <v>616</v>
      </c>
      <c r="D17" s="235" t="s">
        <v>1192</v>
      </c>
      <c r="E17" s="236"/>
      <c r="F17" s="236"/>
      <c r="G17" s="236"/>
      <c r="H17" s="236"/>
      <c r="I17" s="236" t="s">
        <v>1194</v>
      </c>
      <c r="J17" s="236" t="s">
        <v>1194</v>
      </c>
      <c r="K17" s="235"/>
      <c r="L17" s="235"/>
      <c r="M17" s="235"/>
      <c r="N17" s="236"/>
      <c r="O17" s="236"/>
      <c r="P17" s="236"/>
      <c r="Q17" s="236"/>
      <c r="R17" s="236"/>
      <c r="S17" s="235"/>
      <c r="T17" s="235"/>
      <c r="U17" s="235"/>
      <c r="V17" s="236"/>
      <c r="W17" s="236"/>
      <c r="X17" s="229">
        <f t="shared" si="0"/>
        <v>2</v>
      </c>
    </row>
    <row r="18" spans="1:24">
      <c r="A18" s="233">
        <v>16</v>
      </c>
      <c r="B18" s="234" t="s">
        <v>477</v>
      </c>
      <c r="C18" s="234" t="s">
        <v>735</v>
      </c>
      <c r="D18" s="235" t="s">
        <v>1192</v>
      </c>
      <c r="E18" s="236"/>
      <c r="F18" s="236"/>
      <c r="G18" s="236"/>
      <c r="H18" s="236"/>
      <c r="I18" s="236"/>
      <c r="J18" s="236"/>
      <c r="K18" s="235"/>
      <c r="L18" s="235"/>
      <c r="M18" s="235"/>
      <c r="N18" s="236"/>
      <c r="O18" s="236"/>
      <c r="P18" s="236" t="s">
        <v>1194</v>
      </c>
      <c r="Q18" s="236" t="s">
        <v>1194</v>
      </c>
      <c r="R18" s="236"/>
      <c r="S18" s="235"/>
      <c r="T18" s="235"/>
      <c r="U18" s="235"/>
      <c r="V18" s="236"/>
      <c r="W18" s="236"/>
      <c r="X18" s="229">
        <f t="shared" si="0"/>
        <v>2</v>
      </c>
    </row>
    <row r="19" spans="1:24">
      <c r="A19" s="233">
        <v>17</v>
      </c>
      <c r="B19" s="234" t="s">
        <v>477</v>
      </c>
      <c r="C19" s="234" t="s">
        <v>313</v>
      </c>
      <c r="D19" s="235" t="s">
        <v>1192</v>
      </c>
      <c r="E19" s="236"/>
      <c r="F19" s="236"/>
      <c r="G19" s="236"/>
      <c r="H19" s="236"/>
      <c r="I19" s="236"/>
      <c r="J19" s="236"/>
      <c r="K19" s="235"/>
      <c r="L19" s="235"/>
      <c r="M19" s="235" t="s">
        <v>1194</v>
      </c>
      <c r="N19" s="236"/>
      <c r="O19" s="236"/>
      <c r="P19" s="236"/>
      <c r="Q19" s="236"/>
      <c r="R19" s="236" t="s">
        <v>1194</v>
      </c>
      <c r="S19" s="235"/>
      <c r="T19" s="235"/>
      <c r="U19" s="235"/>
      <c r="V19" s="236"/>
      <c r="W19" s="236"/>
      <c r="X19" s="229">
        <f t="shared" si="0"/>
        <v>2</v>
      </c>
    </row>
    <row r="20" spans="1:24">
      <c r="A20" s="233">
        <v>18</v>
      </c>
      <c r="B20" s="234" t="s">
        <v>477</v>
      </c>
      <c r="C20" s="234" t="s">
        <v>705</v>
      </c>
      <c r="D20" s="235" t="s">
        <v>1192</v>
      </c>
      <c r="E20" s="236"/>
      <c r="F20" s="236"/>
      <c r="G20" s="236"/>
      <c r="H20" s="236"/>
      <c r="I20" s="236"/>
      <c r="J20" s="236"/>
      <c r="K20" s="235"/>
      <c r="L20" s="235"/>
      <c r="M20" s="235" t="s">
        <v>1194</v>
      </c>
      <c r="N20" s="236"/>
      <c r="O20" s="236"/>
      <c r="P20" s="236"/>
      <c r="Q20" s="236"/>
      <c r="R20" s="236" t="s">
        <v>1194</v>
      </c>
      <c r="S20" s="235"/>
      <c r="T20" s="235"/>
      <c r="U20" s="235"/>
      <c r="V20" s="236"/>
      <c r="W20" s="236"/>
      <c r="X20" s="229">
        <f t="shared" si="0"/>
        <v>2</v>
      </c>
    </row>
    <row r="21" spans="1:24">
      <c r="A21" s="233">
        <v>19</v>
      </c>
      <c r="B21" s="234" t="s">
        <v>666</v>
      </c>
      <c r="C21" s="234" t="s">
        <v>665</v>
      </c>
      <c r="D21" s="235" t="s">
        <v>1193</v>
      </c>
      <c r="E21" s="236" t="s">
        <v>1194</v>
      </c>
      <c r="F21" s="236"/>
      <c r="G21" s="236"/>
      <c r="H21" s="236"/>
      <c r="I21" s="236"/>
      <c r="J21" s="236"/>
      <c r="K21" s="235"/>
      <c r="L21" s="235"/>
      <c r="M21" s="235"/>
      <c r="N21" s="236"/>
      <c r="O21" s="236"/>
      <c r="P21" s="236"/>
      <c r="Q21" s="236"/>
      <c r="R21" s="236"/>
      <c r="S21" s="235"/>
      <c r="T21" s="235"/>
      <c r="U21" s="235"/>
      <c r="V21" s="236"/>
      <c r="W21" s="236"/>
      <c r="X21" s="229">
        <f t="shared" si="0"/>
        <v>1</v>
      </c>
    </row>
    <row r="22" spans="1:24">
      <c r="A22" s="233">
        <v>20</v>
      </c>
      <c r="B22" s="234" t="s">
        <v>107</v>
      </c>
      <c r="C22" s="234" t="s">
        <v>113</v>
      </c>
      <c r="D22" s="235" t="s">
        <v>1192</v>
      </c>
      <c r="E22" s="236"/>
      <c r="F22" s="236"/>
      <c r="G22" s="236"/>
      <c r="H22" s="236"/>
      <c r="I22" s="236"/>
      <c r="J22" s="236"/>
      <c r="K22" s="235"/>
      <c r="L22" s="235"/>
      <c r="M22" s="235"/>
      <c r="N22" s="236"/>
      <c r="O22" s="236"/>
      <c r="P22" s="236"/>
      <c r="Q22" s="236"/>
      <c r="R22" s="236"/>
      <c r="S22" s="235"/>
      <c r="T22" s="235"/>
      <c r="U22" s="235"/>
      <c r="V22" s="236" t="s">
        <v>1194</v>
      </c>
      <c r="W22" s="236"/>
      <c r="X22" s="229">
        <f t="shared" si="0"/>
        <v>1</v>
      </c>
    </row>
    <row r="23" spans="1:24">
      <c r="A23" s="233">
        <v>21</v>
      </c>
      <c r="B23" s="234" t="s">
        <v>107</v>
      </c>
      <c r="C23" s="234" t="s">
        <v>106</v>
      </c>
      <c r="D23" s="235" t="s">
        <v>1192</v>
      </c>
      <c r="E23" s="236"/>
      <c r="F23" s="236"/>
      <c r="G23" s="236"/>
      <c r="H23" s="236"/>
      <c r="I23" s="236"/>
      <c r="J23" s="236"/>
      <c r="K23" s="235"/>
      <c r="L23" s="235"/>
      <c r="M23" s="235"/>
      <c r="N23" s="236"/>
      <c r="O23" s="236"/>
      <c r="P23" s="236"/>
      <c r="Q23" s="236"/>
      <c r="R23" s="236"/>
      <c r="S23" s="235"/>
      <c r="T23" s="235"/>
      <c r="U23" s="235"/>
      <c r="V23" s="236" t="s">
        <v>1194</v>
      </c>
      <c r="W23" s="236"/>
      <c r="X23" s="229">
        <f t="shared" si="0"/>
        <v>1</v>
      </c>
    </row>
    <row r="24" spans="1:24">
      <c r="A24" s="233">
        <v>22</v>
      </c>
      <c r="B24" s="234" t="s">
        <v>709</v>
      </c>
      <c r="C24" s="234" t="s">
        <v>708</v>
      </c>
      <c r="D24" s="235" t="s">
        <v>1192</v>
      </c>
      <c r="E24" s="236"/>
      <c r="F24" s="236"/>
      <c r="G24" s="236"/>
      <c r="H24" s="236"/>
      <c r="I24" s="236"/>
      <c r="J24" s="236"/>
      <c r="K24" s="235"/>
      <c r="L24" s="235"/>
      <c r="M24" s="235"/>
      <c r="N24" s="236"/>
      <c r="O24" s="236"/>
      <c r="P24" s="236"/>
      <c r="Q24" s="236"/>
      <c r="R24" s="236" t="s">
        <v>1194</v>
      </c>
      <c r="S24" s="235"/>
      <c r="T24" s="235"/>
      <c r="U24" s="235"/>
      <c r="V24" s="236"/>
      <c r="W24" s="236"/>
      <c r="X24" s="229">
        <f t="shared" si="0"/>
        <v>1</v>
      </c>
    </row>
    <row r="25" spans="1:24">
      <c r="A25" s="233">
        <v>23</v>
      </c>
      <c r="B25" s="234" t="s">
        <v>709</v>
      </c>
      <c r="C25" s="234" t="s">
        <v>828</v>
      </c>
      <c r="D25" s="235" t="s">
        <v>1192</v>
      </c>
      <c r="E25" s="236"/>
      <c r="F25" s="236"/>
      <c r="G25" s="236"/>
      <c r="H25" s="236"/>
      <c r="I25" s="236"/>
      <c r="J25" s="236"/>
      <c r="K25" s="235"/>
      <c r="L25" s="235"/>
      <c r="M25" s="235" t="s">
        <v>1194</v>
      </c>
      <c r="N25" s="236"/>
      <c r="O25" s="236"/>
      <c r="P25" s="236"/>
      <c r="Q25" s="236"/>
      <c r="R25" s="236"/>
      <c r="S25" s="235"/>
      <c r="T25" s="235"/>
      <c r="U25" s="235"/>
      <c r="V25" s="236"/>
      <c r="W25" s="236"/>
      <c r="X25" s="229">
        <f t="shared" si="0"/>
        <v>1</v>
      </c>
    </row>
    <row r="26" spans="1:24">
      <c r="A26" s="233">
        <v>24</v>
      </c>
      <c r="B26" s="234" t="s">
        <v>709</v>
      </c>
      <c r="C26" s="234" t="s">
        <v>711</v>
      </c>
      <c r="D26" s="235" t="s">
        <v>1192</v>
      </c>
      <c r="E26" s="236"/>
      <c r="F26" s="236"/>
      <c r="G26" s="236"/>
      <c r="H26" s="236"/>
      <c r="I26" s="236"/>
      <c r="J26" s="236"/>
      <c r="K26" s="235"/>
      <c r="L26" s="235"/>
      <c r="M26" s="235"/>
      <c r="N26" s="236"/>
      <c r="O26" s="236"/>
      <c r="P26" s="236"/>
      <c r="Q26" s="236" t="s">
        <v>1194</v>
      </c>
      <c r="R26" s="236" t="s">
        <v>1194</v>
      </c>
      <c r="S26" s="235"/>
      <c r="T26" s="235"/>
      <c r="U26" s="235"/>
      <c r="V26" s="236"/>
      <c r="W26" s="236"/>
      <c r="X26" s="229">
        <f t="shared" si="0"/>
        <v>2</v>
      </c>
    </row>
    <row r="27" spans="1:24">
      <c r="A27" s="233">
        <v>25</v>
      </c>
      <c r="B27" s="234" t="s">
        <v>709</v>
      </c>
      <c r="C27" s="234" t="s">
        <v>831</v>
      </c>
      <c r="D27" s="235" t="s">
        <v>1192</v>
      </c>
      <c r="E27" s="236"/>
      <c r="F27" s="236"/>
      <c r="G27" s="236"/>
      <c r="H27" s="236"/>
      <c r="I27" s="236"/>
      <c r="J27" s="236"/>
      <c r="K27" s="235"/>
      <c r="L27" s="235"/>
      <c r="M27" s="235" t="s">
        <v>1194</v>
      </c>
      <c r="N27" s="236"/>
      <c r="O27" s="236"/>
      <c r="P27" s="236"/>
      <c r="Q27" s="236"/>
      <c r="R27" s="236"/>
      <c r="S27" s="235"/>
      <c r="T27" s="235"/>
      <c r="U27" s="235"/>
      <c r="V27" s="236"/>
      <c r="W27" s="236"/>
      <c r="X27" s="229">
        <f t="shared" si="0"/>
        <v>1</v>
      </c>
    </row>
    <row r="28" spans="1:24">
      <c r="A28" s="233">
        <v>26</v>
      </c>
      <c r="B28" s="234" t="s">
        <v>136</v>
      </c>
      <c r="C28" s="234" t="s">
        <v>792</v>
      </c>
      <c r="D28" s="235" t="s">
        <v>1193</v>
      </c>
      <c r="E28" s="236"/>
      <c r="F28" s="236"/>
      <c r="G28" s="236"/>
      <c r="H28" s="236"/>
      <c r="I28" s="236"/>
      <c r="J28" s="236"/>
      <c r="K28" s="235" t="s">
        <v>1194</v>
      </c>
      <c r="L28" s="235" t="s">
        <v>1194</v>
      </c>
      <c r="M28" s="235"/>
      <c r="N28" s="236"/>
      <c r="O28" s="236"/>
      <c r="P28" s="236"/>
      <c r="Q28" s="236"/>
      <c r="R28" s="236"/>
      <c r="S28" s="235"/>
      <c r="T28" s="235"/>
      <c r="U28" s="235"/>
      <c r="V28" s="236"/>
      <c r="W28" s="236"/>
      <c r="X28" s="229">
        <f t="shared" si="0"/>
        <v>2</v>
      </c>
    </row>
    <row r="29" spans="1:24">
      <c r="A29" s="233">
        <v>27</v>
      </c>
      <c r="B29" s="234" t="s">
        <v>136</v>
      </c>
      <c r="C29" s="234" t="s">
        <v>668</v>
      </c>
      <c r="D29" s="235" t="s">
        <v>1193</v>
      </c>
      <c r="E29" s="236" t="s">
        <v>1194</v>
      </c>
      <c r="F29" s="236"/>
      <c r="G29" s="236"/>
      <c r="H29" s="236"/>
      <c r="I29" s="236"/>
      <c r="J29" s="236"/>
      <c r="K29" s="235"/>
      <c r="L29" s="235"/>
      <c r="M29" s="235"/>
      <c r="N29" s="236"/>
      <c r="O29" s="236"/>
      <c r="P29" s="236"/>
      <c r="Q29" s="236"/>
      <c r="R29" s="236"/>
      <c r="S29" s="235"/>
      <c r="T29" s="235"/>
      <c r="U29" s="235"/>
      <c r="V29" s="236"/>
      <c r="W29" s="236"/>
      <c r="X29" s="229">
        <f t="shared" si="0"/>
        <v>1</v>
      </c>
    </row>
    <row r="30" spans="1:24">
      <c r="A30" s="233">
        <v>28</v>
      </c>
      <c r="B30" s="234" t="s">
        <v>136</v>
      </c>
      <c r="C30" s="234" t="s">
        <v>495</v>
      </c>
      <c r="D30" s="235" t="s">
        <v>1193</v>
      </c>
      <c r="E30" s="236"/>
      <c r="F30" s="236"/>
      <c r="G30" s="236"/>
      <c r="H30" s="236"/>
      <c r="I30" s="236"/>
      <c r="J30" s="236"/>
      <c r="K30" s="235" t="s">
        <v>1194</v>
      </c>
      <c r="L30" s="235" t="s">
        <v>1194</v>
      </c>
      <c r="M30" s="235"/>
      <c r="N30" s="236"/>
      <c r="O30" s="236"/>
      <c r="P30" s="236"/>
      <c r="Q30" s="236"/>
      <c r="R30" s="236"/>
      <c r="S30" s="235" t="s">
        <v>1194</v>
      </c>
      <c r="T30" s="235"/>
      <c r="U30" s="235"/>
      <c r="V30" s="236"/>
      <c r="W30" s="236"/>
      <c r="X30" s="229">
        <f t="shared" si="0"/>
        <v>3</v>
      </c>
    </row>
    <row r="31" spans="1:24">
      <c r="A31" s="233">
        <v>29</v>
      </c>
      <c r="B31" s="234" t="s">
        <v>136</v>
      </c>
      <c r="C31" s="234" t="s">
        <v>1195</v>
      </c>
      <c r="D31" s="235" t="s">
        <v>1192</v>
      </c>
      <c r="E31" s="236"/>
      <c r="F31" s="236"/>
      <c r="G31" s="236"/>
      <c r="H31" s="236"/>
      <c r="I31" s="236"/>
      <c r="J31" s="236"/>
      <c r="K31" s="235"/>
      <c r="L31" s="235" t="s">
        <v>1194</v>
      </c>
      <c r="M31" s="235"/>
      <c r="N31" s="236"/>
      <c r="O31" s="236"/>
      <c r="P31" s="236"/>
      <c r="Q31" s="236"/>
      <c r="R31" s="236"/>
      <c r="S31" s="235"/>
      <c r="T31" s="235"/>
      <c r="U31" s="235"/>
      <c r="V31" s="236"/>
      <c r="W31" s="236"/>
      <c r="X31" s="229">
        <f t="shared" si="0"/>
        <v>1</v>
      </c>
    </row>
    <row r="32" spans="1:24">
      <c r="A32" s="233">
        <v>30</v>
      </c>
      <c r="B32" s="234" t="s">
        <v>136</v>
      </c>
      <c r="C32" s="234" t="s">
        <v>732</v>
      </c>
      <c r="D32" s="235" t="s">
        <v>1192</v>
      </c>
      <c r="E32" s="236"/>
      <c r="F32" s="236"/>
      <c r="G32" s="236"/>
      <c r="H32" s="236"/>
      <c r="I32" s="236"/>
      <c r="J32" s="236"/>
      <c r="K32" s="235"/>
      <c r="L32" s="235" t="s">
        <v>1194</v>
      </c>
      <c r="M32" s="235"/>
      <c r="N32" s="236"/>
      <c r="O32" s="236"/>
      <c r="P32" s="236"/>
      <c r="Q32" s="236"/>
      <c r="R32" s="236"/>
      <c r="S32" s="235"/>
      <c r="T32" s="235"/>
      <c r="U32" s="235"/>
      <c r="V32" s="236"/>
      <c r="W32" s="236"/>
      <c r="X32" s="229">
        <f t="shared" si="0"/>
        <v>1</v>
      </c>
    </row>
    <row r="33" spans="1:24">
      <c r="A33" s="233">
        <v>31</v>
      </c>
      <c r="B33" s="234" t="s">
        <v>136</v>
      </c>
      <c r="C33" s="234" t="s">
        <v>156</v>
      </c>
      <c r="D33" s="235" t="s">
        <v>1192</v>
      </c>
      <c r="E33" s="236"/>
      <c r="F33" s="236"/>
      <c r="G33" s="236"/>
      <c r="H33" s="236"/>
      <c r="I33" s="236"/>
      <c r="J33" s="236"/>
      <c r="K33" s="235"/>
      <c r="L33" s="235"/>
      <c r="M33" s="235"/>
      <c r="N33" s="236"/>
      <c r="O33" s="236"/>
      <c r="P33" s="236"/>
      <c r="Q33" s="236"/>
      <c r="R33" s="236"/>
      <c r="S33" s="235"/>
      <c r="T33" s="235"/>
      <c r="U33" s="235"/>
      <c r="V33" s="236" t="s">
        <v>1194</v>
      </c>
      <c r="W33" s="236"/>
      <c r="X33" s="229">
        <f t="shared" si="0"/>
        <v>1</v>
      </c>
    </row>
    <row r="34" spans="1:24">
      <c r="A34" s="233">
        <v>32</v>
      </c>
      <c r="B34" s="234" t="s">
        <v>136</v>
      </c>
      <c r="C34" s="234" t="s">
        <v>146</v>
      </c>
      <c r="D34" s="235" t="s">
        <v>1192</v>
      </c>
      <c r="E34" s="236"/>
      <c r="F34" s="236"/>
      <c r="G34" s="236"/>
      <c r="H34" s="236"/>
      <c r="I34" s="236"/>
      <c r="J34" s="236"/>
      <c r="K34" s="235"/>
      <c r="L34" s="235"/>
      <c r="M34" s="235"/>
      <c r="N34" s="236"/>
      <c r="O34" s="236"/>
      <c r="P34" s="236"/>
      <c r="Q34" s="236"/>
      <c r="R34" s="236"/>
      <c r="S34" s="235"/>
      <c r="T34" s="235"/>
      <c r="U34" s="235"/>
      <c r="V34" s="236" t="s">
        <v>1194</v>
      </c>
      <c r="W34" s="236"/>
      <c r="X34" s="229">
        <f t="shared" si="0"/>
        <v>1</v>
      </c>
    </row>
    <row r="35" spans="1:24">
      <c r="A35" s="233">
        <v>33</v>
      </c>
      <c r="B35" s="234" t="s">
        <v>136</v>
      </c>
      <c r="C35" s="234" t="s">
        <v>687</v>
      </c>
      <c r="D35" s="235" t="s">
        <v>1193</v>
      </c>
      <c r="E35" s="236"/>
      <c r="F35" s="236" t="s">
        <v>1194</v>
      </c>
      <c r="G35" s="236"/>
      <c r="H35" s="236"/>
      <c r="I35" s="236"/>
      <c r="J35" s="236"/>
      <c r="K35" s="235"/>
      <c r="L35" s="235"/>
      <c r="M35" s="235"/>
      <c r="N35" s="236"/>
      <c r="O35" s="236"/>
      <c r="P35" s="236"/>
      <c r="Q35" s="236"/>
      <c r="R35" s="236"/>
      <c r="S35" s="235"/>
      <c r="T35" s="235"/>
      <c r="U35" s="235"/>
      <c r="V35" s="236"/>
      <c r="W35" s="236"/>
      <c r="X35" s="229">
        <f t="shared" si="0"/>
        <v>1</v>
      </c>
    </row>
    <row r="36" spans="1:24">
      <c r="A36" s="233">
        <v>34</v>
      </c>
      <c r="B36" s="234" t="s">
        <v>136</v>
      </c>
      <c r="C36" s="234" t="s">
        <v>778</v>
      </c>
      <c r="D36" s="235" t="s">
        <v>1193</v>
      </c>
      <c r="E36" s="236"/>
      <c r="F36" s="236"/>
      <c r="G36" s="236"/>
      <c r="H36" s="236"/>
      <c r="I36" s="236"/>
      <c r="J36" s="236"/>
      <c r="K36" s="235"/>
      <c r="L36" s="235"/>
      <c r="M36" s="235"/>
      <c r="N36" s="236"/>
      <c r="O36" s="236" t="s">
        <v>1194</v>
      </c>
      <c r="P36" s="236"/>
      <c r="Q36" s="236"/>
      <c r="R36" s="236"/>
      <c r="S36" s="235"/>
      <c r="T36" s="235"/>
      <c r="U36" s="235"/>
      <c r="V36" s="236"/>
      <c r="W36" s="236"/>
      <c r="X36" s="229">
        <f t="shared" si="0"/>
        <v>1</v>
      </c>
    </row>
    <row r="37" spans="1:24">
      <c r="A37" s="233">
        <v>35</v>
      </c>
      <c r="B37" s="234" t="s">
        <v>136</v>
      </c>
      <c r="C37" s="234" t="s">
        <v>498</v>
      </c>
      <c r="D37" s="235" t="s">
        <v>1193</v>
      </c>
      <c r="E37" s="236"/>
      <c r="F37" s="236"/>
      <c r="G37" s="236"/>
      <c r="H37" s="236"/>
      <c r="I37" s="236"/>
      <c r="J37" s="236"/>
      <c r="K37" s="235"/>
      <c r="L37" s="235"/>
      <c r="M37" s="235"/>
      <c r="N37" s="236"/>
      <c r="O37" s="236"/>
      <c r="P37" s="236"/>
      <c r="Q37" s="236"/>
      <c r="R37" s="236"/>
      <c r="S37" s="235" t="s">
        <v>1194</v>
      </c>
      <c r="T37" s="235"/>
      <c r="U37" s="235"/>
      <c r="V37" s="236"/>
      <c r="W37" s="236"/>
      <c r="X37" s="229">
        <f t="shared" si="0"/>
        <v>1</v>
      </c>
    </row>
    <row r="38" spans="1:24">
      <c r="A38" s="233">
        <v>36</v>
      </c>
      <c r="B38" s="234" t="s">
        <v>136</v>
      </c>
      <c r="C38" s="234" t="s">
        <v>149</v>
      </c>
      <c r="D38" s="235" t="s">
        <v>1192</v>
      </c>
      <c r="E38" s="236"/>
      <c r="F38" s="236"/>
      <c r="G38" s="236"/>
      <c r="H38" s="236"/>
      <c r="I38" s="236"/>
      <c r="J38" s="236"/>
      <c r="K38" s="235"/>
      <c r="L38" s="235"/>
      <c r="M38" s="235"/>
      <c r="N38" s="236"/>
      <c r="O38" s="236"/>
      <c r="P38" s="236"/>
      <c r="Q38" s="236"/>
      <c r="R38" s="236"/>
      <c r="S38" s="235"/>
      <c r="T38" s="235"/>
      <c r="U38" s="235"/>
      <c r="V38" s="236" t="s">
        <v>1194</v>
      </c>
      <c r="W38" s="236"/>
      <c r="X38" s="229">
        <f t="shared" si="0"/>
        <v>1</v>
      </c>
    </row>
    <row r="39" spans="1:24">
      <c r="A39" s="233">
        <v>37</v>
      </c>
      <c r="B39" s="234" t="s">
        <v>136</v>
      </c>
      <c r="C39" s="234" t="s">
        <v>153</v>
      </c>
      <c r="D39" s="235" t="s">
        <v>1192</v>
      </c>
      <c r="E39" s="236"/>
      <c r="F39" s="236"/>
      <c r="G39" s="236"/>
      <c r="H39" s="236"/>
      <c r="I39" s="236"/>
      <c r="J39" s="236"/>
      <c r="K39" s="235"/>
      <c r="L39" s="235"/>
      <c r="M39" s="235"/>
      <c r="N39" s="236"/>
      <c r="O39" s="236"/>
      <c r="P39" s="236"/>
      <c r="Q39" s="236"/>
      <c r="R39" s="236"/>
      <c r="S39" s="235"/>
      <c r="T39" s="235"/>
      <c r="U39" s="235"/>
      <c r="V39" s="236" t="s">
        <v>1194</v>
      </c>
      <c r="W39" s="236"/>
      <c r="X39" s="229">
        <f t="shared" si="0"/>
        <v>1</v>
      </c>
    </row>
    <row r="40" spans="1:24">
      <c r="A40" s="233">
        <v>38</v>
      </c>
      <c r="B40" s="234" t="s">
        <v>136</v>
      </c>
      <c r="C40" s="234" t="s">
        <v>158</v>
      </c>
      <c r="D40" s="235" t="s">
        <v>1192</v>
      </c>
      <c r="E40" s="236"/>
      <c r="F40" s="236"/>
      <c r="G40" s="236"/>
      <c r="H40" s="236"/>
      <c r="I40" s="236"/>
      <c r="J40" s="236"/>
      <c r="K40" s="235"/>
      <c r="L40" s="235"/>
      <c r="M40" s="235"/>
      <c r="N40" s="236"/>
      <c r="O40" s="236"/>
      <c r="P40" s="236"/>
      <c r="Q40" s="236"/>
      <c r="R40" s="236"/>
      <c r="S40" s="235"/>
      <c r="T40" s="235"/>
      <c r="U40" s="235"/>
      <c r="V40" s="236" t="s">
        <v>1194</v>
      </c>
      <c r="W40" s="236"/>
      <c r="X40" s="229">
        <f t="shared" si="0"/>
        <v>1</v>
      </c>
    </row>
    <row r="41" spans="1:24">
      <c r="A41" s="233">
        <v>39</v>
      </c>
      <c r="B41" s="234" t="s">
        <v>136</v>
      </c>
      <c r="C41" s="234" t="s">
        <v>670</v>
      </c>
      <c r="D41" s="235" t="s">
        <v>1193</v>
      </c>
      <c r="E41" s="236" t="s">
        <v>1194</v>
      </c>
      <c r="F41" s="236" t="s">
        <v>1194</v>
      </c>
      <c r="G41" s="236"/>
      <c r="H41" s="236"/>
      <c r="I41" s="236"/>
      <c r="J41" s="236"/>
      <c r="K41" s="235"/>
      <c r="L41" s="235"/>
      <c r="M41" s="235"/>
      <c r="N41" s="236"/>
      <c r="O41" s="236"/>
      <c r="P41" s="236"/>
      <c r="Q41" s="236"/>
      <c r="R41" s="236"/>
      <c r="S41" s="235"/>
      <c r="T41" s="235"/>
      <c r="U41" s="235"/>
      <c r="V41" s="236"/>
      <c r="W41" s="236"/>
      <c r="X41" s="229">
        <f t="shared" si="0"/>
        <v>2</v>
      </c>
    </row>
    <row r="42" spans="1:24">
      <c r="A42" s="233">
        <v>40</v>
      </c>
      <c r="B42" s="234" t="s">
        <v>136</v>
      </c>
      <c r="C42" s="234" t="s">
        <v>685</v>
      </c>
      <c r="D42" s="235" t="s">
        <v>1193</v>
      </c>
      <c r="E42" s="236"/>
      <c r="F42" s="236" t="s">
        <v>1194</v>
      </c>
      <c r="G42" s="236"/>
      <c r="H42" s="236"/>
      <c r="I42" s="236"/>
      <c r="J42" s="236"/>
      <c r="K42" s="235"/>
      <c r="L42" s="235"/>
      <c r="M42" s="235"/>
      <c r="N42" s="236"/>
      <c r="O42" s="236"/>
      <c r="P42" s="236"/>
      <c r="Q42" s="236"/>
      <c r="R42" s="236"/>
      <c r="S42" s="235"/>
      <c r="T42" s="235"/>
      <c r="U42" s="235"/>
      <c r="V42" s="236"/>
      <c r="W42" s="236"/>
      <c r="X42" s="229">
        <f t="shared" si="0"/>
        <v>1</v>
      </c>
    </row>
    <row r="43" spans="1:24">
      <c r="A43" s="233">
        <v>41</v>
      </c>
      <c r="B43" s="234" t="s">
        <v>136</v>
      </c>
      <c r="C43" s="234" t="s">
        <v>726</v>
      </c>
      <c r="D43" s="235" t="s">
        <v>1193</v>
      </c>
      <c r="E43" s="236"/>
      <c r="F43" s="236"/>
      <c r="G43" s="236"/>
      <c r="H43" s="236"/>
      <c r="I43" s="236"/>
      <c r="J43" s="236"/>
      <c r="K43" s="235" t="s">
        <v>1194</v>
      </c>
      <c r="L43" s="235" t="s">
        <v>1194</v>
      </c>
      <c r="M43" s="235"/>
      <c r="N43" s="236"/>
      <c r="O43" s="236" t="s">
        <v>1194</v>
      </c>
      <c r="P43" s="236"/>
      <c r="Q43" s="236"/>
      <c r="R43" s="236"/>
      <c r="S43" s="235"/>
      <c r="T43" s="235"/>
      <c r="U43" s="235"/>
      <c r="V43" s="236"/>
      <c r="W43" s="236"/>
      <c r="X43" s="229">
        <f t="shared" si="0"/>
        <v>3</v>
      </c>
    </row>
    <row r="44" spans="1:24">
      <c r="A44" s="233">
        <v>42</v>
      </c>
      <c r="B44" s="234" t="s">
        <v>136</v>
      </c>
      <c r="C44" s="234" t="s">
        <v>494</v>
      </c>
      <c r="D44" s="235" t="s">
        <v>1193</v>
      </c>
      <c r="E44" s="236"/>
      <c r="F44" s="236"/>
      <c r="G44" s="236"/>
      <c r="H44" s="236"/>
      <c r="I44" s="236"/>
      <c r="J44" s="236"/>
      <c r="K44" s="235" t="s">
        <v>1194</v>
      </c>
      <c r="L44" s="235"/>
      <c r="M44" s="235"/>
      <c r="N44" s="236"/>
      <c r="O44" s="236"/>
      <c r="P44" s="236"/>
      <c r="Q44" s="236"/>
      <c r="R44" s="236"/>
      <c r="S44" s="235" t="s">
        <v>1194</v>
      </c>
      <c r="T44" s="235"/>
      <c r="U44" s="235"/>
      <c r="V44" s="236"/>
      <c r="W44" s="236"/>
      <c r="X44" s="229">
        <f t="shared" si="0"/>
        <v>2</v>
      </c>
    </row>
    <row r="45" spans="1:24">
      <c r="A45" s="233">
        <v>43</v>
      </c>
      <c r="B45" s="234" t="s">
        <v>136</v>
      </c>
      <c r="C45" s="234" t="s">
        <v>157</v>
      </c>
      <c r="D45" s="235" t="s">
        <v>1192</v>
      </c>
      <c r="E45" s="236"/>
      <c r="F45" s="236"/>
      <c r="G45" s="236"/>
      <c r="H45" s="236"/>
      <c r="I45" s="236"/>
      <c r="J45" s="236"/>
      <c r="K45" s="235"/>
      <c r="L45" s="235"/>
      <c r="M45" s="235"/>
      <c r="N45" s="236"/>
      <c r="O45" s="236"/>
      <c r="P45" s="236"/>
      <c r="Q45" s="236"/>
      <c r="R45" s="236"/>
      <c r="S45" s="235"/>
      <c r="T45" s="235"/>
      <c r="U45" s="235"/>
      <c r="V45" s="236" t="s">
        <v>1194</v>
      </c>
      <c r="W45" s="236"/>
      <c r="X45" s="229">
        <f t="shared" si="0"/>
        <v>1</v>
      </c>
    </row>
    <row r="46" spans="1:24">
      <c r="A46" s="233">
        <v>44</v>
      </c>
      <c r="B46" s="234" t="s">
        <v>136</v>
      </c>
      <c r="C46" s="234" t="s">
        <v>1196</v>
      </c>
      <c r="D46" s="235" t="s">
        <v>1192</v>
      </c>
      <c r="E46" s="236"/>
      <c r="F46" s="236"/>
      <c r="G46" s="236"/>
      <c r="H46" s="236"/>
      <c r="I46" s="236"/>
      <c r="J46" s="236" t="s">
        <v>1194</v>
      </c>
      <c r="K46" s="235"/>
      <c r="L46" s="235"/>
      <c r="M46" s="235"/>
      <c r="N46" s="236"/>
      <c r="O46" s="236"/>
      <c r="P46" s="236"/>
      <c r="Q46" s="236"/>
      <c r="R46" s="236"/>
      <c r="S46" s="235"/>
      <c r="T46" s="235"/>
      <c r="U46" s="235"/>
      <c r="V46" s="236"/>
      <c r="W46" s="236"/>
      <c r="X46" s="229">
        <f t="shared" si="0"/>
        <v>1</v>
      </c>
    </row>
    <row r="47" spans="1:24">
      <c r="A47" s="233">
        <v>45</v>
      </c>
      <c r="B47" s="234" t="s">
        <v>136</v>
      </c>
      <c r="C47" s="234" t="s">
        <v>785</v>
      </c>
      <c r="D47" s="235" t="s">
        <v>1193</v>
      </c>
      <c r="E47" s="236"/>
      <c r="F47" s="236"/>
      <c r="G47" s="236"/>
      <c r="H47" s="236"/>
      <c r="I47" s="236"/>
      <c r="J47" s="236"/>
      <c r="K47" s="235" t="s">
        <v>1194</v>
      </c>
      <c r="L47" s="235"/>
      <c r="M47" s="235"/>
      <c r="N47" s="236"/>
      <c r="O47" s="236"/>
      <c r="P47" s="236"/>
      <c r="Q47" s="236"/>
      <c r="R47" s="236"/>
      <c r="S47" s="235"/>
      <c r="T47" s="235"/>
      <c r="U47" s="235"/>
      <c r="V47" s="236"/>
      <c r="W47" s="236"/>
      <c r="X47" s="229">
        <f t="shared" si="0"/>
        <v>1</v>
      </c>
    </row>
    <row r="48" spans="1:24">
      <c r="A48" s="233">
        <v>46</v>
      </c>
      <c r="B48" s="234" t="s">
        <v>136</v>
      </c>
      <c r="C48" s="234" t="s">
        <v>529</v>
      </c>
      <c r="D48" s="235" t="s">
        <v>1192</v>
      </c>
      <c r="E48" s="236"/>
      <c r="F48" s="236"/>
      <c r="G48" s="236" t="s">
        <v>1194</v>
      </c>
      <c r="H48" s="236"/>
      <c r="I48" s="236"/>
      <c r="J48" s="236" t="s">
        <v>1194</v>
      </c>
      <c r="K48" s="235"/>
      <c r="L48" s="235"/>
      <c r="M48" s="235"/>
      <c r="N48" s="236"/>
      <c r="O48" s="236"/>
      <c r="P48" s="236"/>
      <c r="Q48" s="236"/>
      <c r="R48" s="236"/>
      <c r="S48" s="235"/>
      <c r="T48" s="235"/>
      <c r="U48" s="235"/>
      <c r="V48" s="236"/>
      <c r="W48" s="236"/>
      <c r="X48" s="229">
        <f t="shared" si="0"/>
        <v>2</v>
      </c>
    </row>
    <row r="49" spans="1:24">
      <c r="A49" s="233">
        <v>47</v>
      </c>
      <c r="B49" s="234" t="s">
        <v>136</v>
      </c>
      <c r="C49" s="234" t="s">
        <v>154</v>
      </c>
      <c r="D49" s="235" t="s">
        <v>1192</v>
      </c>
      <c r="E49" s="236"/>
      <c r="F49" s="236"/>
      <c r="G49" s="236"/>
      <c r="H49" s="236"/>
      <c r="I49" s="236"/>
      <c r="J49" s="236"/>
      <c r="K49" s="235"/>
      <c r="L49" s="235"/>
      <c r="M49" s="235"/>
      <c r="N49" s="236"/>
      <c r="O49" s="236"/>
      <c r="P49" s="236"/>
      <c r="Q49" s="236"/>
      <c r="R49" s="236"/>
      <c r="S49" s="235"/>
      <c r="T49" s="235"/>
      <c r="U49" s="235"/>
      <c r="V49" s="236" t="s">
        <v>1194</v>
      </c>
      <c r="W49" s="236"/>
      <c r="X49" s="229">
        <f t="shared" si="0"/>
        <v>1</v>
      </c>
    </row>
    <row r="50" spans="1:24">
      <c r="A50" s="233">
        <v>48</v>
      </c>
      <c r="B50" s="234" t="s">
        <v>136</v>
      </c>
      <c r="C50" s="234" t="s">
        <v>745</v>
      </c>
      <c r="D50" s="235" t="s">
        <v>1192</v>
      </c>
      <c r="E50" s="236"/>
      <c r="F50" s="236"/>
      <c r="G50" s="236"/>
      <c r="H50" s="236"/>
      <c r="I50" s="236"/>
      <c r="J50" s="236"/>
      <c r="K50" s="235"/>
      <c r="L50" s="235" t="s">
        <v>1194</v>
      </c>
      <c r="M50" s="235"/>
      <c r="N50" s="236"/>
      <c r="O50" s="236"/>
      <c r="P50" s="236"/>
      <c r="Q50" s="236"/>
      <c r="R50" s="236"/>
      <c r="S50" s="235"/>
      <c r="T50" s="235"/>
      <c r="U50" s="235"/>
      <c r="V50" s="236"/>
      <c r="W50" s="236"/>
      <c r="X50" s="229">
        <f t="shared" si="0"/>
        <v>1</v>
      </c>
    </row>
    <row r="51" spans="1:24">
      <c r="A51" s="233">
        <v>49</v>
      </c>
      <c r="B51" s="234" t="s">
        <v>136</v>
      </c>
      <c r="C51" s="234" t="s">
        <v>152</v>
      </c>
      <c r="D51" s="235" t="s">
        <v>1192</v>
      </c>
      <c r="E51" s="236"/>
      <c r="F51" s="236"/>
      <c r="G51" s="236"/>
      <c r="H51" s="236"/>
      <c r="I51" s="236"/>
      <c r="J51" s="236"/>
      <c r="K51" s="235"/>
      <c r="L51" s="235"/>
      <c r="M51" s="235"/>
      <c r="N51" s="236"/>
      <c r="O51" s="236"/>
      <c r="P51" s="236"/>
      <c r="Q51" s="236"/>
      <c r="R51" s="236"/>
      <c r="S51" s="235"/>
      <c r="T51" s="235"/>
      <c r="U51" s="235"/>
      <c r="V51" s="236" t="s">
        <v>1194</v>
      </c>
      <c r="W51" s="236"/>
      <c r="X51" s="229">
        <f t="shared" si="0"/>
        <v>1</v>
      </c>
    </row>
    <row r="52" spans="1:24">
      <c r="A52" s="233">
        <v>50</v>
      </c>
      <c r="B52" s="234" t="s">
        <v>136</v>
      </c>
      <c r="C52" s="234" t="s">
        <v>789</v>
      </c>
      <c r="D52" s="235" t="s">
        <v>1193</v>
      </c>
      <c r="E52" s="236"/>
      <c r="F52" s="236"/>
      <c r="G52" s="236"/>
      <c r="H52" s="236"/>
      <c r="I52" s="236"/>
      <c r="J52" s="236"/>
      <c r="K52" s="235" t="s">
        <v>1194</v>
      </c>
      <c r="L52" s="235"/>
      <c r="M52" s="235"/>
      <c r="N52" s="236"/>
      <c r="O52" s="236"/>
      <c r="P52" s="236"/>
      <c r="Q52" s="236"/>
      <c r="R52" s="236"/>
      <c r="S52" s="235"/>
      <c r="T52" s="235"/>
      <c r="U52" s="235"/>
      <c r="V52" s="236"/>
      <c r="W52" s="236"/>
      <c r="X52" s="229">
        <f t="shared" si="0"/>
        <v>1</v>
      </c>
    </row>
    <row r="53" spans="1:24">
      <c r="A53" s="233">
        <v>51</v>
      </c>
      <c r="B53" s="234" t="s">
        <v>502</v>
      </c>
      <c r="C53" s="234" t="s">
        <v>501</v>
      </c>
      <c r="D53" s="235" t="s">
        <v>1193</v>
      </c>
      <c r="E53" s="236"/>
      <c r="F53" s="236"/>
      <c r="G53" s="236"/>
      <c r="H53" s="236"/>
      <c r="I53" s="236"/>
      <c r="J53" s="236"/>
      <c r="K53" s="235"/>
      <c r="L53" s="235"/>
      <c r="M53" s="235"/>
      <c r="N53" s="236"/>
      <c r="O53" s="236"/>
      <c r="P53" s="236"/>
      <c r="Q53" s="236"/>
      <c r="R53" s="236"/>
      <c r="S53" s="235" t="s">
        <v>1194</v>
      </c>
      <c r="T53" s="235"/>
      <c r="U53" s="235"/>
      <c r="V53" s="236"/>
      <c r="W53" s="236"/>
      <c r="X53" s="229">
        <f t="shared" si="0"/>
        <v>1</v>
      </c>
    </row>
    <row r="54" spans="1:24">
      <c r="A54" s="233">
        <v>52</v>
      </c>
      <c r="B54" s="234" t="s">
        <v>502</v>
      </c>
      <c r="C54" s="234" t="s">
        <v>538</v>
      </c>
      <c r="D54" s="235" t="s">
        <v>1192</v>
      </c>
      <c r="E54" s="236"/>
      <c r="F54" s="236"/>
      <c r="G54" s="236" t="s">
        <v>1194</v>
      </c>
      <c r="H54" s="236" t="s">
        <v>1194</v>
      </c>
      <c r="I54" s="236"/>
      <c r="J54" s="236"/>
      <c r="K54" s="235"/>
      <c r="L54" s="235"/>
      <c r="M54" s="235"/>
      <c r="N54" s="236"/>
      <c r="O54" s="236"/>
      <c r="P54" s="236"/>
      <c r="Q54" s="236"/>
      <c r="R54" s="236"/>
      <c r="S54" s="235"/>
      <c r="T54" s="235"/>
      <c r="U54" s="235"/>
      <c r="V54" s="236"/>
      <c r="W54" s="236"/>
      <c r="X54" s="229">
        <f t="shared" si="0"/>
        <v>2</v>
      </c>
    </row>
    <row r="55" spans="1:24">
      <c r="A55" s="233">
        <v>53</v>
      </c>
      <c r="B55" s="234" t="s">
        <v>299</v>
      </c>
      <c r="C55" s="234" t="s">
        <v>335</v>
      </c>
      <c r="D55" s="235" t="s">
        <v>1193</v>
      </c>
      <c r="E55" s="236"/>
      <c r="F55" s="236"/>
      <c r="G55" s="236"/>
      <c r="H55" s="236"/>
      <c r="I55" s="236"/>
      <c r="J55" s="236"/>
      <c r="K55" s="235"/>
      <c r="L55" s="235"/>
      <c r="M55" s="235"/>
      <c r="N55" s="236"/>
      <c r="O55" s="236"/>
      <c r="P55" s="236"/>
      <c r="Q55" s="236"/>
      <c r="R55" s="236"/>
      <c r="S55" s="235"/>
      <c r="T55" s="235"/>
      <c r="U55" s="235" t="s">
        <v>1194</v>
      </c>
      <c r="V55" s="236"/>
      <c r="W55" s="236"/>
      <c r="X55" s="229">
        <f t="shared" si="0"/>
        <v>1</v>
      </c>
    </row>
    <row r="56" spans="1:24">
      <c r="A56" s="233">
        <v>54</v>
      </c>
      <c r="B56" s="234" t="s">
        <v>299</v>
      </c>
      <c r="C56" s="234" t="s">
        <v>343</v>
      </c>
      <c r="D56" s="235" t="s">
        <v>1193</v>
      </c>
      <c r="E56" s="236"/>
      <c r="F56" s="236"/>
      <c r="G56" s="236"/>
      <c r="H56" s="236"/>
      <c r="I56" s="236"/>
      <c r="J56" s="236"/>
      <c r="K56" s="235"/>
      <c r="L56" s="235"/>
      <c r="M56" s="235"/>
      <c r="N56" s="236"/>
      <c r="O56" s="236"/>
      <c r="P56" s="236"/>
      <c r="Q56" s="236"/>
      <c r="R56" s="236"/>
      <c r="S56" s="235"/>
      <c r="T56" s="235"/>
      <c r="U56" s="235" t="s">
        <v>1194</v>
      </c>
      <c r="V56" s="236"/>
      <c r="W56" s="236"/>
      <c r="X56" s="229">
        <f t="shared" si="0"/>
        <v>1</v>
      </c>
    </row>
    <row r="57" spans="1:24">
      <c r="A57" s="233">
        <v>55</v>
      </c>
      <c r="B57" s="234" t="s">
        <v>299</v>
      </c>
      <c r="C57" s="234" t="s">
        <v>356</v>
      </c>
      <c r="D57" s="235" t="s">
        <v>1192</v>
      </c>
      <c r="E57" s="236"/>
      <c r="F57" s="236"/>
      <c r="G57" s="236"/>
      <c r="H57" s="236"/>
      <c r="I57" s="236"/>
      <c r="J57" s="236"/>
      <c r="K57" s="235"/>
      <c r="L57" s="235"/>
      <c r="M57" s="235"/>
      <c r="N57" s="236"/>
      <c r="O57" s="236"/>
      <c r="P57" s="236"/>
      <c r="Q57" s="236"/>
      <c r="R57" s="236"/>
      <c r="S57" s="235"/>
      <c r="T57" s="235"/>
      <c r="U57" s="235" t="s">
        <v>1194</v>
      </c>
      <c r="V57" s="236"/>
      <c r="W57" s="236"/>
      <c r="X57" s="229">
        <f t="shared" si="0"/>
        <v>1</v>
      </c>
    </row>
    <row r="58" spans="1:24">
      <c r="A58" s="233">
        <v>56</v>
      </c>
      <c r="B58" s="234" t="s">
        <v>299</v>
      </c>
      <c r="C58" s="234" t="s">
        <v>370</v>
      </c>
      <c r="D58" s="235" t="s">
        <v>1192</v>
      </c>
      <c r="E58" s="236"/>
      <c r="F58" s="236"/>
      <c r="G58" s="236"/>
      <c r="H58" s="236"/>
      <c r="I58" s="236"/>
      <c r="J58" s="236"/>
      <c r="K58" s="235"/>
      <c r="L58" s="235"/>
      <c r="M58" s="235"/>
      <c r="N58" s="236"/>
      <c r="O58" s="236"/>
      <c r="P58" s="236"/>
      <c r="Q58" s="236"/>
      <c r="R58" s="236"/>
      <c r="S58" s="235"/>
      <c r="T58" s="235"/>
      <c r="U58" s="235" t="s">
        <v>1194</v>
      </c>
      <c r="V58" s="236"/>
      <c r="W58" s="236"/>
      <c r="X58" s="229">
        <f t="shared" si="0"/>
        <v>1</v>
      </c>
    </row>
    <row r="59" spans="1:24">
      <c r="A59" s="233">
        <v>57</v>
      </c>
      <c r="B59" s="234" t="s">
        <v>299</v>
      </c>
      <c r="C59" s="234" t="s">
        <v>326</v>
      </c>
      <c r="D59" s="235" t="s">
        <v>1192</v>
      </c>
      <c r="E59" s="236"/>
      <c r="F59" s="236"/>
      <c r="G59" s="236"/>
      <c r="H59" s="236"/>
      <c r="I59" s="236"/>
      <c r="J59" s="236"/>
      <c r="K59" s="235"/>
      <c r="L59" s="235"/>
      <c r="M59" s="235"/>
      <c r="N59" s="236"/>
      <c r="O59" s="236"/>
      <c r="P59" s="236"/>
      <c r="Q59" s="236"/>
      <c r="R59" s="236"/>
      <c r="S59" s="235"/>
      <c r="T59" s="235"/>
      <c r="U59" s="235" t="s">
        <v>1194</v>
      </c>
      <c r="V59" s="236"/>
      <c r="W59" s="236"/>
      <c r="X59" s="229">
        <f t="shared" si="0"/>
        <v>1</v>
      </c>
    </row>
    <row r="60" spans="1:24">
      <c r="A60" s="233">
        <v>58</v>
      </c>
      <c r="B60" s="234" t="s">
        <v>299</v>
      </c>
      <c r="C60" s="234" t="s">
        <v>331</v>
      </c>
      <c r="D60" s="235" t="s">
        <v>1193</v>
      </c>
      <c r="E60" s="236"/>
      <c r="F60" s="236"/>
      <c r="G60" s="236"/>
      <c r="H60" s="236"/>
      <c r="I60" s="236"/>
      <c r="J60" s="236"/>
      <c r="K60" s="235"/>
      <c r="L60" s="235"/>
      <c r="M60" s="235"/>
      <c r="N60" s="236"/>
      <c r="O60" s="236"/>
      <c r="P60" s="236"/>
      <c r="Q60" s="236"/>
      <c r="R60" s="236"/>
      <c r="S60" s="235"/>
      <c r="T60" s="235"/>
      <c r="U60" s="235" t="s">
        <v>1194</v>
      </c>
      <c r="V60" s="236"/>
      <c r="W60" s="236"/>
      <c r="X60" s="229">
        <f t="shared" si="0"/>
        <v>1</v>
      </c>
    </row>
    <row r="61" spans="1:24">
      <c r="A61" s="233">
        <v>59</v>
      </c>
      <c r="B61" s="234" t="s">
        <v>299</v>
      </c>
      <c r="C61" s="234" t="s">
        <v>306</v>
      </c>
      <c r="D61" s="235" t="s">
        <v>1193</v>
      </c>
      <c r="E61" s="236"/>
      <c r="F61" s="236"/>
      <c r="G61" s="236"/>
      <c r="H61" s="236"/>
      <c r="I61" s="236"/>
      <c r="J61" s="236"/>
      <c r="K61" s="235"/>
      <c r="L61" s="235"/>
      <c r="M61" s="235"/>
      <c r="N61" s="236"/>
      <c r="O61" s="236"/>
      <c r="P61" s="236"/>
      <c r="Q61" s="236"/>
      <c r="R61" s="236"/>
      <c r="S61" s="235"/>
      <c r="T61" s="235"/>
      <c r="U61" s="235" t="s">
        <v>1194</v>
      </c>
      <c r="V61" s="236"/>
      <c r="W61" s="236"/>
      <c r="X61" s="229">
        <f t="shared" si="0"/>
        <v>1</v>
      </c>
    </row>
    <row r="62" spans="1:24">
      <c r="A62" s="233">
        <v>60</v>
      </c>
      <c r="B62" s="234" t="s">
        <v>299</v>
      </c>
      <c r="C62" s="234" t="s">
        <v>313</v>
      </c>
      <c r="D62" s="235" t="s">
        <v>1192</v>
      </c>
      <c r="E62" s="236"/>
      <c r="F62" s="236"/>
      <c r="G62" s="236"/>
      <c r="H62" s="236"/>
      <c r="I62" s="236"/>
      <c r="J62" s="236" t="s">
        <v>1194</v>
      </c>
      <c r="K62" s="235"/>
      <c r="L62" s="235"/>
      <c r="M62" s="235"/>
      <c r="N62" s="236"/>
      <c r="O62" s="236"/>
      <c r="P62" s="236"/>
      <c r="Q62" s="236"/>
      <c r="R62" s="236"/>
      <c r="S62" s="235"/>
      <c r="T62" s="235"/>
      <c r="U62" s="235" t="s">
        <v>1194</v>
      </c>
      <c r="V62" s="236"/>
      <c r="W62" s="236"/>
      <c r="X62" s="229">
        <f t="shared" si="0"/>
        <v>2</v>
      </c>
    </row>
    <row r="63" spans="1:24">
      <c r="A63" s="233">
        <v>61</v>
      </c>
      <c r="B63" s="234" t="s">
        <v>299</v>
      </c>
      <c r="C63" s="234" t="s">
        <v>364</v>
      </c>
      <c r="D63" s="235" t="s">
        <v>1192</v>
      </c>
      <c r="E63" s="236"/>
      <c r="F63" s="236"/>
      <c r="G63" s="236"/>
      <c r="H63" s="236"/>
      <c r="I63" s="236"/>
      <c r="J63" s="236"/>
      <c r="K63" s="235"/>
      <c r="L63" s="235"/>
      <c r="M63" s="235"/>
      <c r="N63" s="236"/>
      <c r="O63" s="236"/>
      <c r="P63" s="236"/>
      <c r="Q63" s="236"/>
      <c r="R63" s="236"/>
      <c r="S63" s="235"/>
      <c r="T63" s="235"/>
      <c r="U63" s="235" t="s">
        <v>1194</v>
      </c>
      <c r="V63" s="236"/>
      <c r="W63" s="236"/>
      <c r="X63" s="229">
        <f t="shared" si="0"/>
        <v>1</v>
      </c>
    </row>
    <row r="64" spans="1:24">
      <c r="A64" s="233">
        <v>62</v>
      </c>
      <c r="B64" s="234" t="s">
        <v>299</v>
      </c>
      <c r="C64" s="234" t="s">
        <v>297</v>
      </c>
      <c r="D64" s="235" t="s">
        <v>1193</v>
      </c>
      <c r="E64" s="236"/>
      <c r="F64" s="236"/>
      <c r="G64" s="236"/>
      <c r="H64" s="236"/>
      <c r="I64" s="236"/>
      <c r="J64" s="236"/>
      <c r="K64" s="235"/>
      <c r="L64" s="235"/>
      <c r="M64" s="235"/>
      <c r="N64" s="236"/>
      <c r="O64" s="236"/>
      <c r="P64" s="236"/>
      <c r="Q64" s="236"/>
      <c r="R64" s="236"/>
      <c r="S64" s="235"/>
      <c r="T64" s="235"/>
      <c r="U64" s="235" t="s">
        <v>1194</v>
      </c>
      <c r="V64" s="236"/>
      <c r="W64" s="236"/>
      <c r="X64" s="229">
        <f t="shared" si="0"/>
        <v>1</v>
      </c>
    </row>
    <row r="65" spans="1:24">
      <c r="A65" s="233">
        <v>63</v>
      </c>
      <c r="B65" s="234" t="s">
        <v>299</v>
      </c>
      <c r="C65" s="234" t="s">
        <v>320</v>
      </c>
      <c r="D65" s="235" t="s">
        <v>1192</v>
      </c>
      <c r="E65" s="236"/>
      <c r="F65" s="236"/>
      <c r="G65" s="236"/>
      <c r="H65" s="236"/>
      <c r="I65" s="236"/>
      <c r="J65" s="236"/>
      <c r="K65" s="235"/>
      <c r="L65" s="235"/>
      <c r="M65" s="235"/>
      <c r="N65" s="236"/>
      <c r="O65" s="236"/>
      <c r="P65" s="236"/>
      <c r="Q65" s="236"/>
      <c r="R65" s="236"/>
      <c r="S65" s="235"/>
      <c r="T65" s="235"/>
      <c r="U65" s="235" t="s">
        <v>1194</v>
      </c>
      <c r="V65" s="236"/>
      <c r="W65" s="236"/>
      <c r="X65" s="229">
        <f t="shared" si="0"/>
        <v>1</v>
      </c>
    </row>
    <row r="66" spans="1:24">
      <c r="A66" s="233">
        <v>64</v>
      </c>
      <c r="B66" s="234" t="s">
        <v>164</v>
      </c>
      <c r="C66" s="234" t="s">
        <v>163</v>
      </c>
      <c r="D66" s="235" t="s">
        <v>1192</v>
      </c>
      <c r="E66" s="236"/>
      <c r="F66" s="236"/>
      <c r="G66" s="236"/>
      <c r="H66" s="236"/>
      <c r="I66" s="236"/>
      <c r="J66" s="236"/>
      <c r="K66" s="235"/>
      <c r="L66" s="235"/>
      <c r="M66" s="235"/>
      <c r="N66" s="236"/>
      <c r="O66" s="236"/>
      <c r="P66" s="236"/>
      <c r="Q66" s="236"/>
      <c r="R66" s="236"/>
      <c r="S66" s="235"/>
      <c r="T66" s="235"/>
      <c r="U66" s="235"/>
      <c r="V66" s="236" t="s">
        <v>1194</v>
      </c>
      <c r="W66" s="236"/>
      <c r="X66" s="229">
        <f t="shared" si="0"/>
        <v>1</v>
      </c>
    </row>
    <row r="67" spans="1:24">
      <c r="A67" s="233">
        <v>65</v>
      </c>
      <c r="B67" s="234" t="s">
        <v>164</v>
      </c>
      <c r="C67" s="234" t="s">
        <v>169</v>
      </c>
      <c r="D67" s="235" t="s">
        <v>1192</v>
      </c>
      <c r="E67" s="236"/>
      <c r="F67" s="236"/>
      <c r="G67" s="236"/>
      <c r="H67" s="236"/>
      <c r="I67" s="236"/>
      <c r="J67" s="236"/>
      <c r="K67" s="235"/>
      <c r="L67" s="235"/>
      <c r="M67" s="235"/>
      <c r="N67" s="236"/>
      <c r="O67" s="236"/>
      <c r="P67" s="236"/>
      <c r="Q67" s="236"/>
      <c r="R67" s="236"/>
      <c r="S67" s="235"/>
      <c r="T67" s="235"/>
      <c r="U67" s="235"/>
      <c r="V67" s="236" t="s">
        <v>1194</v>
      </c>
      <c r="W67" s="236"/>
      <c r="X67" s="229">
        <f t="shared" si="0"/>
        <v>1</v>
      </c>
    </row>
    <row r="68" spans="1:24">
      <c r="A68" s="233">
        <v>66</v>
      </c>
      <c r="B68" s="234" t="s">
        <v>164</v>
      </c>
      <c r="C68" s="234" t="s">
        <v>542</v>
      </c>
      <c r="D68" s="235" t="s">
        <v>1192</v>
      </c>
      <c r="E68" s="236"/>
      <c r="F68" s="236"/>
      <c r="G68" s="236" t="s">
        <v>1194</v>
      </c>
      <c r="H68" s="236"/>
      <c r="I68" s="236"/>
      <c r="J68" s="236"/>
      <c r="K68" s="235"/>
      <c r="L68" s="235"/>
      <c r="M68" s="235"/>
      <c r="N68" s="236"/>
      <c r="O68" s="236"/>
      <c r="P68" s="236"/>
      <c r="Q68" s="236"/>
      <c r="R68" s="236"/>
      <c r="S68" s="235"/>
      <c r="T68" s="235"/>
      <c r="U68" s="235"/>
      <c r="V68" s="236"/>
      <c r="W68" s="236"/>
      <c r="X68" s="229">
        <f t="shared" ref="X68:X131" si="1">COUNTIF(E68:W68,"x")</f>
        <v>1</v>
      </c>
    </row>
    <row r="69" spans="1:24">
      <c r="A69" s="233">
        <v>67</v>
      </c>
      <c r="B69" s="234" t="s">
        <v>164</v>
      </c>
      <c r="C69" s="234" t="s">
        <v>173</v>
      </c>
      <c r="D69" s="235" t="s">
        <v>1192</v>
      </c>
      <c r="E69" s="236"/>
      <c r="F69" s="236"/>
      <c r="G69" s="236"/>
      <c r="H69" s="236"/>
      <c r="I69" s="236"/>
      <c r="J69" s="236"/>
      <c r="K69" s="235"/>
      <c r="L69" s="235"/>
      <c r="M69" s="235"/>
      <c r="N69" s="236"/>
      <c r="O69" s="236"/>
      <c r="P69" s="236"/>
      <c r="Q69" s="236"/>
      <c r="R69" s="236"/>
      <c r="S69" s="235"/>
      <c r="T69" s="235"/>
      <c r="U69" s="235"/>
      <c r="V69" s="236" t="s">
        <v>1194</v>
      </c>
      <c r="W69" s="236"/>
      <c r="X69" s="229">
        <f t="shared" si="1"/>
        <v>1</v>
      </c>
    </row>
    <row r="70" spans="1:24">
      <c r="A70" s="233">
        <v>68</v>
      </c>
      <c r="B70" s="234" t="s">
        <v>164</v>
      </c>
      <c r="C70" s="234" t="s">
        <v>167</v>
      </c>
      <c r="D70" s="235" t="s">
        <v>1192</v>
      </c>
      <c r="E70" s="236"/>
      <c r="F70" s="236"/>
      <c r="G70" s="236"/>
      <c r="H70" s="236"/>
      <c r="I70" s="236"/>
      <c r="J70" s="236"/>
      <c r="K70" s="235"/>
      <c r="L70" s="235"/>
      <c r="M70" s="235"/>
      <c r="N70" s="236"/>
      <c r="O70" s="236"/>
      <c r="P70" s="236"/>
      <c r="Q70" s="236"/>
      <c r="R70" s="236"/>
      <c r="S70" s="235"/>
      <c r="T70" s="235"/>
      <c r="U70" s="235"/>
      <c r="V70" s="236" t="s">
        <v>1194</v>
      </c>
      <c r="W70" s="236"/>
      <c r="X70" s="229">
        <f t="shared" si="1"/>
        <v>1</v>
      </c>
    </row>
    <row r="71" spans="1:24">
      <c r="A71" s="233">
        <v>69</v>
      </c>
      <c r="B71" s="234" t="s">
        <v>164</v>
      </c>
      <c r="C71" s="234" t="s">
        <v>171</v>
      </c>
      <c r="D71" s="235" t="s">
        <v>1192</v>
      </c>
      <c r="E71" s="236"/>
      <c r="F71" s="236"/>
      <c r="G71" s="236"/>
      <c r="H71" s="236"/>
      <c r="I71" s="236"/>
      <c r="J71" s="236"/>
      <c r="K71" s="235"/>
      <c r="L71" s="235"/>
      <c r="M71" s="235"/>
      <c r="N71" s="236"/>
      <c r="O71" s="236"/>
      <c r="P71" s="236"/>
      <c r="Q71" s="236"/>
      <c r="R71" s="236"/>
      <c r="S71" s="235"/>
      <c r="T71" s="235"/>
      <c r="U71" s="235"/>
      <c r="V71" s="236" t="s">
        <v>1194</v>
      </c>
      <c r="W71" s="236"/>
      <c r="X71" s="229">
        <f t="shared" si="1"/>
        <v>1</v>
      </c>
    </row>
    <row r="72" spans="1:24">
      <c r="A72" s="233">
        <v>70</v>
      </c>
      <c r="B72" s="234" t="s">
        <v>164</v>
      </c>
      <c r="C72" s="234" t="s">
        <v>825</v>
      </c>
      <c r="D72" s="235" t="s">
        <v>1192</v>
      </c>
      <c r="E72" s="236"/>
      <c r="F72" s="236"/>
      <c r="G72" s="236"/>
      <c r="H72" s="236"/>
      <c r="I72" s="236"/>
      <c r="J72" s="236"/>
      <c r="K72" s="235"/>
      <c r="L72" s="235"/>
      <c r="M72" s="235"/>
      <c r="N72" s="236"/>
      <c r="O72" s="236"/>
      <c r="P72" s="236"/>
      <c r="Q72" s="236" t="s">
        <v>1194</v>
      </c>
      <c r="R72" s="236"/>
      <c r="S72" s="235"/>
      <c r="T72" s="235"/>
      <c r="U72" s="235"/>
      <c r="V72" s="236"/>
      <c r="W72" s="236"/>
      <c r="X72" s="229">
        <f t="shared" si="1"/>
        <v>1</v>
      </c>
    </row>
    <row r="73" spans="1:24">
      <c r="A73" s="233">
        <v>71</v>
      </c>
      <c r="B73" s="234" t="s">
        <v>164</v>
      </c>
      <c r="C73" s="234" t="s">
        <v>174</v>
      </c>
      <c r="D73" s="235" t="s">
        <v>1192</v>
      </c>
      <c r="E73" s="236"/>
      <c r="F73" s="236"/>
      <c r="G73" s="236"/>
      <c r="H73" s="236"/>
      <c r="I73" s="236"/>
      <c r="J73" s="236"/>
      <c r="K73" s="235"/>
      <c r="L73" s="235"/>
      <c r="M73" s="235"/>
      <c r="N73" s="236"/>
      <c r="O73" s="236"/>
      <c r="P73" s="236"/>
      <c r="Q73" s="236"/>
      <c r="R73" s="236"/>
      <c r="S73" s="235"/>
      <c r="T73" s="235"/>
      <c r="U73" s="235"/>
      <c r="V73" s="236" t="s">
        <v>1194</v>
      </c>
      <c r="W73" s="236"/>
      <c r="X73" s="229">
        <f t="shared" si="1"/>
        <v>1</v>
      </c>
    </row>
    <row r="74" spans="1:24">
      <c r="A74" s="233">
        <v>72</v>
      </c>
      <c r="B74" s="234" t="s">
        <v>164</v>
      </c>
      <c r="C74" s="234" t="s">
        <v>180</v>
      </c>
      <c r="D74" s="235" t="s">
        <v>1192</v>
      </c>
      <c r="E74" s="236"/>
      <c r="F74" s="236"/>
      <c r="G74" s="236"/>
      <c r="H74" s="236"/>
      <c r="I74" s="236"/>
      <c r="J74" s="236"/>
      <c r="K74" s="235"/>
      <c r="L74" s="235"/>
      <c r="M74" s="235"/>
      <c r="N74" s="236"/>
      <c r="O74" s="236"/>
      <c r="P74" s="236"/>
      <c r="Q74" s="236"/>
      <c r="R74" s="236"/>
      <c r="S74" s="235"/>
      <c r="T74" s="235"/>
      <c r="U74" s="235"/>
      <c r="V74" s="236" t="s">
        <v>1194</v>
      </c>
      <c r="W74" s="236"/>
      <c r="X74" s="229">
        <f t="shared" si="1"/>
        <v>1</v>
      </c>
    </row>
    <row r="75" spans="1:24">
      <c r="A75" s="233">
        <v>73</v>
      </c>
      <c r="B75" s="234" t="s">
        <v>164</v>
      </c>
      <c r="C75" s="234" t="s">
        <v>188</v>
      </c>
      <c r="D75" s="235" t="s">
        <v>1192</v>
      </c>
      <c r="E75" s="236"/>
      <c r="F75" s="236"/>
      <c r="G75" s="236"/>
      <c r="H75" s="236"/>
      <c r="I75" s="236"/>
      <c r="J75" s="236"/>
      <c r="K75" s="235"/>
      <c r="L75" s="235"/>
      <c r="M75" s="235"/>
      <c r="N75" s="236"/>
      <c r="O75" s="236"/>
      <c r="P75" s="236"/>
      <c r="Q75" s="236"/>
      <c r="R75" s="236"/>
      <c r="S75" s="235"/>
      <c r="T75" s="235"/>
      <c r="U75" s="235"/>
      <c r="V75" s="236" t="s">
        <v>1194</v>
      </c>
      <c r="W75" s="236"/>
      <c r="X75" s="229">
        <f t="shared" si="1"/>
        <v>1</v>
      </c>
    </row>
    <row r="76" spans="1:24">
      <c r="A76" s="233">
        <v>74</v>
      </c>
      <c r="B76" s="234" t="s">
        <v>164</v>
      </c>
      <c r="C76" s="234" t="s">
        <v>177</v>
      </c>
      <c r="D76" s="235" t="s">
        <v>1192</v>
      </c>
      <c r="E76" s="236"/>
      <c r="F76" s="236"/>
      <c r="G76" s="236"/>
      <c r="H76" s="236"/>
      <c r="I76" s="236"/>
      <c r="J76" s="236"/>
      <c r="K76" s="235"/>
      <c r="L76" s="235"/>
      <c r="M76" s="235"/>
      <c r="N76" s="236"/>
      <c r="O76" s="236"/>
      <c r="P76" s="236"/>
      <c r="Q76" s="236"/>
      <c r="R76" s="236"/>
      <c r="S76" s="235"/>
      <c r="T76" s="235"/>
      <c r="U76" s="235"/>
      <c r="V76" s="236" t="s">
        <v>1194</v>
      </c>
      <c r="W76" s="236"/>
      <c r="X76" s="229">
        <f t="shared" si="1"/>
        <v>1</v>
      </c>
    </row>
    <row r="77" spans="1:24">
      <c r="A77" s="233">
        <v>75</v>
      </c>
      <c r="B77" s="234" t="s">
        <v>164</v>
      </c>
      <c r="C77" s="234" t="s">
        <v>186</v>
      </c>
      <c r="D77" s="235" t="s">
        <v>1192</v>
      </c>
      <c r="E77" s="236"/>
      <c r="F77" s="236"/>
      <c r="G77" s="236"/>
      <c r="H77" s="236"/>
      <c r="I77" s="236"/>
      <c r="J77" s="236"/>
      <c r="K77" s="235"/>
      <c r="L77" s="235"/>
      <c r="M77" s="235"/>
      <c r="N77" s="236"/>
      <c r="O77" s="236"/>
      <c r="P77" s="236"/>
      <c r="Q77" s="236"/>
      <c r="R77" s="236"/>
      <c r="S77" s="235"/>
      <c r="T77" s="235"/>
      <c r="U77" s="235"/>
      <c r="V77" s="236" t="s">
        <v>1194</v>
      </c>
      <c r="W77" s="236"/>
      <c r="X77" s="229">
        <f t="shared" si="1"/>
        <v>1</v>
      </c>
    </row>
    <row r="78" spans="1:24">
      <c r="A78" s="233">
        <v>76</v>
      </c>
      <c r="B78" s="234" t="s">
        <v>164</v>
      </c>
      <c r="C78" s="234" t="s">
        <v>183</v>
      </c>
      <c r="D78" s="235" t="s">
        <v>1192</v>
      </c>
      <c r="E78" s="236"/>
      <c r="F78" s="236"/>
      <c r="G78" s="236"/>
      <c r="H78" s="236"/>
      <c r="I78" s="236"/>
      <c r="J78" s="236"/>
      <c r="K78" s="235"/>
      <c r="L78" s="235"/>
      <c r="M78" s="235"/>
      <c r="N78" s="236"/>
      <c r="O78" s="236"/>
      <c r="P78" s="236"/>
      <c r="Q78" s="236"/>
      <c r="R78" s="236"/>
      <c r="S78" s="235"/>
      <c r="T78" s="235"/>
      <c r="U78" s="235"/>
      <c r="V78" s="236" t="s">
        <v>1194</v>
      </c>
      <c r="W78" s="236"/>
      <c r="X78" s="229">
        <f t="shared" si="1"/>
        <v>1</v>
      </c>
    </row>
    <row r="79" spans="1:24">
      <c r="A79" s="233">
        <v>77</v>
      </c>
      <c r="B79" s="234" t="s">
        <v>389</v>
      </c>
      <c r="C79" s="234" t="s">
        <v>392</v>
      </c>
      <c r="D79" s="235" t="s">
        <v>1192</v>
      </c>
      <c r="E79" s="236"/>
      <c r="F79" s="236"/>
      <c r="G79" s="236"/>
      <c r="H79" s="236"/>
      <c r="I79" s="236"/>
      <c r="J79" s="236"/>
      <c r="K79" s="235"/>
      <c r="L79" s="235"/>
      <c r="M79" s="235"/>
      <c r="N79" s="236"/>
      <c r="O79" s="236"/>
      <c r="P79" s="236"/>
      <c r="Q79" s="236"/>
      <c r="R79" s="236"/>
      <c r="S79" s="235"/>
      <c r="T79" s="235"/>
      <c r="U79" s="235" t="s">
        <v>1194</v>
      </c>
      <c r="V79" s="236"/>
      <c r="W79" s="236"/>
      <c r="X79" s="229">
        <f t="shared" si="1"/>
        <v>1</v>
      </c>
    </row>
    <row r="80" spans="1:24">
      <c r="A80" s="233">
        <v>78</v>
      </c>
      <c r="B80" s="234" t="s">
        <v>389</v>
      </c>
      <c r="C80" s="234" t="s">
        <v>393</v>
      </c>
      <c r="D80" s="235" t="s">
        <v>1193</v>
      </c>
      <c r="E80" s="236" t="s">
        <v>1194</v>
      </c>
      <c r="F80" s="236"/>
      <c r="G80" s="236"/>
      <c r="H80" s="236"/>
      <c r="I80" s="236"/>
      <c r="J80" s="236"/>
      <c r="K80" s="235"/>
      <c r="L80" s="235"/>
      <c r="M80" s="235"/>
      <c r="N80" s="236"/>
      <c r="O80" s="236"/>
      <c r="P80" s="236"/>
      <c r="Q80" s="236"/>
      <c r="R80" s="236"/>
      <c r="S80" s="235"/>
      <c r="T80" s="235"/>
      <c r="U80" s="235" t="s">
        <v>1194</v>
      </c>
      <c r="V80" s="236"/>
      <c r="W80" s="236"/>
      <c r="X80" s="229">
        <f t="shared" si="1"/>
        <v>2</v>
      </c>
    </row>
    <row r="81" spans="1:24">
      <c r="A81" s="233">
        <v>79</v>
      </c>
      <c r="B81" s="234" t="s">
        <v>389</v>
      </c>
      <c r="C81" s="234" t="s">
        <v>505</v>
      </c>
      <c r="D81" s="235" t="s">
        <v>1193</v>
      </c>
      <c r="E81" s="236"/>
      <c r="F81" s="236"/>
      <c r="G81" s="236"/>
      <c r="H81" s="236"/>
      <c r="I81" s="236"/>
      <c r="J81" s="236"/>
      <c r="K81" s="235"/>
      <c r="L81" s="235"/>
      <c r="M81" s="235"/>
      <c r="N81" s="236"/>
      <c r="O81" s="236"/>
      <c r="P81" s="236"/>
      <c r="Q81" s="236"/>
      <c r="R81" s="236"/>
      <c r="S81" s="235" t="s">
        <v>1194</v>
      </c>
      <c r="T81" s="235"/>
      <c r="U81" s="235"/>
      <c r="V81" s="236"/>
      <c r="W81" s="236"/>
      <c r="X81" s="229">
        <f t="shared" si="1"/>
        <v>1</v>
      </c>
    </row>
    <row r="82" spans="1:24">
      <c r="A82" s="233">
        <v>80</v>
      </c>
      <c r="B82" s="234" t="s">
        <v>389</v>
      </c>
      <c r="C82" s="234" t="s">
        <v>394</v>
      </c>
      <c r="D82" s="235" t="s">
        <v>1192</v>
      </c>
      <c r="E82" s="236"/>
      <c r="F82" s="236"/>
      <c r="G82" s="236"/>
      <c r="H82" s="236"/>
      <c r="I82" s="236"/>
      <c r="J82" s="236"/>
      <c r="K82" s="235"/>
      <c r="L82" s="235"/>
      <c r="M82" s="235"/>
      <c r="N82" s="236"/>
      <c r="O82" s="236"/>
      <c r="P82" s="236"/>
      <c r="Q82" s="236"/>
      <c r="R82" s="236"/>
      <c r="S82" s="235"/>
      <c r="T82" s="235"/>
      <c r="U82" s="235" t="s">
        <v>1194</v>
      </c>
      <c r="V82" s="236"/>
      <c r="W82" s="236"/>
      <c r="X82" s="229">
        <f t="shared" si="1"/>
        <v>1</v>
      </c>
    </row>
    <row r="83" spans="1:24">
      <c r="A83" s="233">
        <v>81</v>
      </c>
      <c r="B83" s="234" t="s">
        <v>389</v>
      </c>
      <c r="C83" s="234" t="s">
        <v>388</v>
      </c>
      <c r="D83" s="235" t="s">
        <v>1193</v>
      </c>
      <c r="E83" s="236"/>
      <c r="F83" s="236"/>
      <c r="G83" s="236"/>
      <c r="H83" s="236"/>
      <c r="I83" s="236"/>
      <c r="J83" s="236"/>
      <c r="K83" s="235"/>
      <c r="L83" s="235"/>
      <c r="M83" s="235"/>
      <c r="N83" s="236"/>
      <c r="O83" s="236"/>
      <c r="P83" s="236"/>
      <c r="Q83" s="236"/>
      <c r="R83" s="236"/>
      <c r="S83" s="235"/>
      <c r="T83" s="235"/>
      <c r="U83" s="235" t="s">
        <v>1194</v>
      </c>
      <c r="V83" s="236"/>
      <c r="W83" s="236"/>
      <c r="X83" s="229">
        <f t="shared" si="1"/>
        <v>1</v>
      </c>
    </row>
    <row r="84" spans="1:24">
      <c r="A84" s="233">
        <v>82</v>
      </c>
      <c r="B84" s="234" t="s">
        <v>389</v>
      </c>
      <c r="C84" s="234" t="s">
        <v>737</v>
      </c>
      <c r="D84" s="235" t="s">
        <v>1193</v>
      </c>
      <c r="E84" s="236"/>
      <c r="F84" s="236"/>
      <c r="G84" s="236"/>
      <c r="H84" s="236"/>
      <c r="I84" s="236"/>
      <c r="J84" s="236"/>
      <c r="K84" s="235"/>
      <c r="L84" s="235"/>
      <c r="M84" s="235"/>
      <c r="N84" s="236"/>
      <c r="O84" s="236"/>
      <c r="P84" s="236" t="s">
        <v>1194</v>
      </c>
      <c r="Q84" s="236"/>
      <c r="R84" s="236"/>
      <c r="S84" s="235"/>
      <c r="T84" s="235"/>
      <c r="U84" s="235"/>
      <c r="V84" s="236"/>
      <c r="W84" s="236"/>
      <c r="X84" s="229">
        <f t="shared" si="1"/>
        <v>1</v>
      </c>
    </row>
    <row r="85" spans="1:24">
      <c r="A85" s="233">
        <v>83</v>
      </c>
      <c r="B85" s="234" t="s">
        <v>389</v>
      </c>
      <c r="C85" s="234" t="s">
        <v>395</v>
      </c>
      <c r="D85" s="235" t="s">
        <v>1193</v>
      </c>
      <c r="E85" s="236"/>
      <c r="F85" s="236"/>
      <c r="G85" s="236"/>
      <c r="H85" s="236"/>
      <c r="I85" s="236"/>
      <c r="J85" s="236"/>
      <c r="K85" s="235"/>
      <c r="L85" s="235"/>
      <c r="M85" s="235"/>
      <c r="N85" s="236"/>
      <c r="O85" s="236"/>
      <c r="P85" s="236"/>
      <c r="Q85" s="236"/>
      <c r="R85" s="236"/>
      <c r="S85" s="235"/>
      <c r="T85" s="235"/>
      <c r="U85" s="235" t="s">
        <v>1194</v>
      </c>
      <c r="V85" s="236"/>
      <c r="W85" s="236"/>
      <c r="X85" s="229">
        <f t="shared" si="1"/>
        <v>1</v>
      </c>
    </row>
    <row r="86" spans="1:24">
      <c r="A86" s="233">
        <v>84</v>
      </c>
      <c r="B86" s="234" t="s">
        <v>389</v>
      </c>
      <c r="C86" s="234" t="s">
        <v>391</v>
      </c>
      <c r="D86" s="235" t="s">
        <v>1192</v>
      </c>
      <c r="E86" s="236"/>
      <c r="F86" s="236"/>
      <c r="G86" s="236"/>
      <c r="H86" s="236"/>
      <c r="I86" s="236"/>
      <c r="J86" s="236"/>
      <c r="K86" s="235"/>
      <c r="L86" s="235"/>
      <c r="M86" s="235"/>
      <c r="N86" s="236"/>
      <c r="O86" s="236"/>
      <c r="P86" s="236"/>
      <c r="Q86" s="236"/>
      <c r="R86" s="236"/>
      <c r="S86" s="235"/>
      <c r="T86" s="235"/>
      <c r="U86" s="235" t="s">
        <v>1194</v>
      </c>
      <c r="V86" s="236"/>
      <c r="W86" s="236"/>
      <c r="X86" s="229">
        <f t="shared" si="1"/>
        <v>1</v>
      </c>
    </row>
    <row r="87" spans="1:24">
      <c r="A87" s="233">
        <v>85</v>
      </c>
      <c r="B87" s="234" t="s">
        <v>389</v>
      </c>
      <c r="C87" s="234" t="s">
        <v>742</v>
      </c>
      <c r="D87" s="235" t="s">
        <v>1192</v>
      </c>
      <c r="E87" s="236"/>
      <c r="F87" s="236"/>
      <c r="G87" s="236"/>
      <c r="H87" s="236"/>
      <c r="I87" s="236"/>
      <c r="J87" s="236"/>
      <c r="K87" s="235"/>
      <c r="L87" s="235"/>
      <c r="M87" s="235"/>
      <c r="N87" s="236"/>
      <c r="O87" s="236"/>
      <c r="P87" s="236" t="s">
        <v>1194</v>
      </c>
      <c r="Q87" s="236"/>
      <c r="R87" s="236"/>
      <c r="S87" s="235"/>
      <c r="T87" s="235"/>
      <c r="U87" s="235"/>
      <c r="V87" s="236"/>
      <c r="W87" s="236"/>
      <c r="X87" s="229">
        <f t="shared" si="1"/>
        <v>1</v>
      </c>
    </row>
    <row r="88" spans="1:24">
      <c r="A88" s="233">
        <v>86</v>
      </c>
      <c r="B88" s="234" t="s">
        <v>480</v>
      </c>
      <c r="C88" s="234" t="s">
        <v>479</v>
      </c>
      <c r="D88" s="235" t="s">
        <v>1192</v>
      </c>
      <c r="E88" s="236"/>
      <c r="F88" s="236"/>
      <c r="G88" s="236"/>
      <c r="H88" s="236"/>
      <c r="I88" s="236"/>
      <c r="J88" s="236"/>
      <c r="K88" s="235"/>
      <c r="L88" s="235"/>
      <c r="M88" s="235"/>
      <c r="N88" s="236"/>
      <c r="O88" s="236"/>
      <c r="P88" s="236"/>
      <c r="Q88" s="236"/>
      <c r="R88" s="236"/>
      <c r="S88" s="235"/>
      <c r="T88" s="235" t="s">
        <v>1194</v>
      </c>
      <c r="U88" s="235"/>
      <c r="V88" s="236"/>
      <c r="W88" s="236"/>
      <c r="X88" s="229">
        <f t="shared" si="1"/>
        <v>1</v>
      </c>
    </row>
    <row r="89" spans="1:24">
      <c r="A89" s="233">
        <v>87</v>
      </c>
      <c r="B89" s="234" t="s">
        <v>480</v>
      </c>
      <c r="C89" s="234" t="s">
        <v>482</v>
      </c>
      <c r="D89" s="235" t="s">
        <v>1192</v>
      </c>
      <c r="E89" s="236"/>
      <c r="F89" s="236"/>
      <c r="G89" s="236"/>
      <c r="H89" s="236"/>
      <c r="I89" s="236"/>
      <c r="J89" s="236"/>
      <c r="K89" s="235"/>
      <c r="L89" s="235"/>
      <c r="M89" s="235"/>
      <c r="N89" s="236"/>
      <c r="O89" s="236"/>
      <c r="P89" s="236"/>
      <c r="Q89" s="236"/>
      <c r="R89" s="236"/>
      <c r="S89" s="235"/>
      <c r="T89" s="235" t="s">
        <v>1194</v>
      </c>
      <c r="U89" s="235"/>
      <c r="V89" s="236"/>
      <c r="W89" s="236"/>
      <c r="X89" s="229">
        <f t="shared" si="1"/>
        <v>1</v>
      </c>
    </row>
    <row r="90" spans="1:24">
      <c r="A90" s="233">
        <v>88</v>
      </c>
      <c r="B90" s="234" t="s">
        <v>744</v>
      </c>
      <c r="C90" s="234" t="s">
        <v>749</v>
      </c>
      <c r="D90" s="235" t="s">
        <v>1192</v>
      </c>
      <c r="E90" s="236"/>
      <c r="F90" s="236"/>
      <c r="G90" s="236"/>
      <c r="H90" s="236"/>
      <c r="I90" s="236"/>
      <c r="J90" s="236"/>
      <c r="K90" s="235"/>
      <c r="L90" s="235"/>
      <c r="M90" s="235"/>
      <c r="N90" s="236"/>
      <c r="O90" s="236"/>
      <c r="P90" s="236" t="s">
        <v>1194</v>
      </c>
      <c r="Q90" s="236" t="s">
        <v>1194</v>
      </c>
      <c r="R90" s="236"/>
      <c r="S90" s="235"/>
      <c r="T90" s="235"/>
      <c r="U90" s="235"/>
      <c r="V90" s="236"/>
      <c r="W90" s="236"/>
      <c r="X90" s="229">
        <f t="shared" si="1"/>
        <v>2</v>
      </c>
    </row>
    <row r="91" spans="1:24">
      <c r="A91" s="233">
        <v>89</v>
      </c>
      <c r="B91" s="234" t="s">
        <v>744</v>
      </c>
      <c r="C91" s="234" t="s">
        <v>743</v>
      </c>
      <c r="D91" s="235" t="s">
        <v>1193</v>
      </c>
      <c r="E91" s="236"/>
      <c r="F91" s="236"/>
      <c r="G91" s="236"/>
      <c r="H91" s="236"/>
      <c r="I91" s="236"/>
      <c r="J91" s="236"/>
      <c r="K91" s="235"/>
      <c r="L91" s="235"/>
      <c r="M91" s="235"/>
      <c r="N91" s="236"/>
      <c r="O91" s="236"/>
      <c r="P91" s="236" t="s">
        <v>1194</v>
      </c>
      <c r="Q91" s="236"/>
      <c r="R91" s="236"/>
      <c r="S91" s="235"/>
      <c r="T91" s="235"/>
      <c r="U91" s="235"/>
      <c r="V91" s="236"/>
      <c r="W91" s="236"/>
      <c r="X91" s="229">
        <f t="shared" si="1"/>
        <v>1</v>
      </c>
    </row>
    <row r="92" spans="1:24">
      <c r="A92" s="233">
        <v>90</v>
      </c>
      <c r="B92" s="234" t="s">
        <v>43</v>
      </c>
      <c r="C92" s="234" t="s">
        <v>102</v>
      </c>
      <c r="D92" s="235" t="s">
        <v>1193</v>
      </c>
      <c r="E92" s="236"/>
      <c r="F92" s="236"/>
      <c r="G92" s="236"/>
      <c r="H92" s="236"/>
      <c r="I92" s="236"/>
      <c r="J92" s="236"/>
      <c r="K92" s="235"/>
      <c r="L92" s="235"/>
      <c r="M92" s="235"/>
      <c r="N92" s="236"/>
      <c r="O92" s="236"/>
      <c r="P92" s="236"/>
      <c r="Q92" s="236"/>
      <c r="R92" s="236"/>
      <c r="S92" s="235"/>
      <c r="T92" s="235"/>
      <c r="U92" s="235" t="s">
        <v>1194</v>
      </c>
      <c r="V92" s="236"/>
      <c r="W92" s="236" t="s">
        <v>1194</v>
      </c>
      <c r="X92" s="229">
        <f t="shared" si="1"/>
        <v>2</v>
      </c>
    </row>
    <row r="93" spans="1:24">
      <c r="A93" s="233">
        <v>91</v>
      </c>
      <c r="B93" s="234" t="s">
        <v>43</v>
      </c>
      <c r="C93" s="234" t="s">
        <v>82</v>
      </c>
      <c r="D93" s="235" t="s">
        <v>1193</v>
      </c>
      <c r="E93" s="236"/>
      <c r="F93" s="236"/>
      <c r="G93" s="236"/>
      <c r="H93" s="236"/>
      <c r="I93" s="236"/>
      <c r="J93" s="236"/>
      <c r="K93" s="235"/>
      <c r="L93" s="235"/>
      <c r="M93" s="235"/>
      <c r="N93" s="236"/>
      <c r="O93" s="236"/>
      <c r="P93" s="236"/>
      <c r="Q93" s="236"/>
      <c r="R93" s="236"/>
      <c r="S93" s="235"/>
      <c r="T93" s="235"/>
      <c r="U93" s="235"/>
      <c r="V93" s="236"/>
      <c r="W93" s="236" t="s">
        <v>1194</v>
      </c>
      <c r="X93" s="229">
        <f t="shared" si="1"/>
        <v>1</v>
      </c>
    </row>
    <row r="94" spans="1:24">
      <c r="A94" s="233">
        <v>92</v>
      </c>
      <c r="B94" s="234" t="s">
        <v>43</v>
      </c>
      <c r="C94" s="234" t="s">
        <v>385</v>
      </c>
      <c r="D94" s="235"/>
      <c r="E94" s="236"/>
      <c r="F94" s="236"/>
      <c r="G94" s="236"/>
      <c r="H94" s="236"/>
      <c r="I94" s="236"/>
      <c r="J94" s="236"/>
      <c r="K94" s="235"/>
      <c r="L94" s="235"/>
      <c r="M94" s="235"/>
      <c r="N94" s="236"/>
      <c r="O94" s="236"/>
      <c r="P94" s="236"/>
      <c r="Q94" s="236"/>
      <c r="R94" s="236"/>
      <c r="S94" s="235"/>
      <c r="T94" s="235"/>
      <c r="U94" s="235" t="s">
        <v>1194</v>
      </c>
      <c r="V94" s="236"/>
      <c r="W94" s="236"/>
      <c r="X94" s="229">
        <f t="shared" si="1"/>
        <v>1</v>
      </c>
    </row>
    <row r="95" spans="1:24">
      <c r="A95" s="233">
        <v>93</v>
      </c>
      <c r="B95" s="234" t="s">
        <v>43</v>
      </c>
      <c r="C95" s="234" t="s">
        <v>122</v>
      </c>
      <c r="D95" s="235" t="s">
        <v>1193</v>
      </c>
      <c r="E95" s="236"/>
      <c r="F95" s="236"/>
      <c r="G95" s="236"/>
      <c r="H95" s="236"/>
      <c r="I95" s="236"/>
      <c r="J95" s="236"/>
      <c r="K95" s="235"/>
      <c r="L95" s="235"/>
      <c r="M95" s="235"/>
      <c r="N95" s="236"/>
      <c r="O95" s="236"/>
      <c r="P95" s="236"/>
      <c r="Q95" s="236"/>
      <c r="R95" s="236"/>
      <c r="S95" s="235"/>
      <c r="T95" s="235"/>
      <c r="U95" s="235" t="s">
        <v>1194</v>
      </c>
      <c r="V95" s="236"/>
      <c r="W95" s="236" t="s">
        <v>1194</v>
      </c>
      <c r="X95" s="229">
        <f t="shared" si="1"/>
        <v>2</v>
      </c>
    </row>
    <row r="96" spans="1:24">
      <c r="A96" s="233">
        <v>94</v>
      </c>
      <c r="B96" s="234" t="s">
        <v>43</v>
      </c>
      <c r="C96" s="234" t="s">
        <v>142</v>
      </c>
      <c r="D96" s="235" t="s">
        <v>1193</v>
      </c>
      <c r="E96" s="236"/>
      <c r="F96" s="236"/>
      <c r="G96" s="236"/>
      <c r="H96" s="236"/>
      <c r="I96" s="236"/>
      <c r="J96" s="236"/>
      <c r="K96" s="235"/>
      <c r="L96" s="235"/>
      <c r="M96" s="235"/>
      <c r="N96" s="236"/>
      <c r="O96" s="236"/>
      <c r="P96" s="236"/>
      <c r="Q96" s="236"/>
      <c r="R96" s="236"/>
      <c r="S96" s="235"/>
      <c r="T96" s="235"/>
      <c r="U96" s="235"/>
      <c r="V96" s="236"/>
      <c r="W96" s="236" t="s">
        <v>1194</v>
      </c>
      <c r="X96" s="229">
        <f t="shared" si="1"/>
        <v>1</v>
      </c>
    </row>
    <row r="97" spans="1:24">
      <c r="A97" s="233">
        <v>95</v>
      </c>
      <c r="B97" s="234" t="s">
        <v>43</v>
      </c>
      <c r="C97" s="234" t="s">
        <v>138</v>
      </c>
      <c r="D97" s="235" t="s">
        <v>1193</v>
      </c>
      <c r="E97" s="236"/>
      <c r="F97" s="236"/>
      <c r="G97" s="236"/>
      <c r="H97" s="236"/>
      <c r="I97" s="236"/>
      <c r="J97" s="236"/>
      <c r="K97" s="235"/>
      <c r="L97" s="235"/>
      <c r="M97" s="235"/>
      <c r="N97" s="236"/>
      <c r="O97" s="236"/>
      <c r="P97" s="236"/>
      <c r="Q97" s="236"/>
      <c r="R97" s="236"/>
      <c r="S97" s="235"/>
      <c r="T97" s="235"/>
      <c r="U97" s="235"/>
      <c r="V97" s="236"/>
      <c r="W97" s="236" t="s">
        <v>1194</v>
      </c>
      <c r="X97" s="229">
        <f t="shared" si="1"/>
        <v>1</v>
      </c>
    </row>
    <row r="98" spans="1:24">
      <c r="A98" s="233">
        <v>96</v>
      </c>
      <c r="B98" s="234" t="s">
        <v>43</v>
      </c>
      <c r="C98" s="234" t="s">
        <v>148</v>
      </c>
      <c r="D98" s="235" t="s">
        <v>1193</v>
      </c>
      <c r="E98" s="236"/>
      <c r="F98" s="236"/>
      <c r="G98" s="236"/>
      <c r="H98" s="236"/>
      <c r="I98" s="236"/>
      <c r="J98" s="236"/>
      <c r="K98" s="235"/>
      <c r="L98" s="235"/>
      <c r="M98" s="235"/>
      <c r="N98" s="236"/>
      <c r="O98" s="236"/>
      <c r="P98" s="236"/>
      <c r="Q98" s="236"/>
      <c r="R98" s="236"/>
      <c r="S98" s="235"/>
      <c r="T98" s="235"/>
      <c r="U98" s="235"/>
      <c r="V98" s="236"/>
      <c r="W98" s="236" t="s">
        <v>1194</v>
      </c>
      <c r="X98" s="229">
        <f t="shared" si="1"/>
        <v>1</v>
      </c>
    </row>
    <row r="99" spans="1:24">
      <c r="A99" s="233">
        <v>97</v>
      </c>
      <c r="B99" s="234" t="s">
        <v>43</v>
      </c>
      <c r="C99" s="234" t="s">
        <v>72</v>
      </c>
      <c r="D99" s="235" t="s">
        <v>1193</v>
      </c>
      <c r="E99" s="236"/>
      <c r="F99" s="236"/>
      <c r="G99" s="236"/>
      <c r="H99" s="236"/>
      <c r="I99" s="236"/>
      <c r="J99" s="236"/>
      <c r="K99" s="235"/>
      <c r="L99" s="235"/>
      <c r="M99" s="235"/>
      <c r="N99" s="236"/>
      <c r="O99" s="236"/>
      <c r="P99" s="236"/>
      <c r="Q99" s="236"/>
      <c r="R99" s="236"/>
      <c r="S99" s="235"/>
      <c r="T99" s="235"/>
      <c r="U99" s="235" t="s">
        <v>1194</v>
      </c>
      <c r="V99" s="236"/>
      <c r="W99" s="236" t="s">
        <v>1194</v>
      </c>
      <c r="X99" s="229">
        <f t="shared" si="1"/>
        <v>2</v>
      </c>
    </row>
    <row r="100" spans="1:24">
      <c r="A100" s="233">
        <v>98</v>
      </c>
      <c r="B100" s="234" t="s">
        <v>43</v>
      </c>
      <c r="C100" s="234" t="s">
        <v>132</v>
      </c>
      <c r="D100" s="235" t="s">
        <v>1193</v>
      </c>
      <c r="E100" s="236"/>
      <c r="F100" s="236"/>
      <c r="G100" s="236"/>
      <c r="H100" s="236"/>
      <c r="I100" s="236"/>
      <c r="J100" s="236"/>
      <c r="K100" s="235"/>
      <c r="L100" s="235"/>
      <c r="M100" s="235"/>
      <c r="N100" s="236"/>
      <c r="O100" s="236"/>
      <c r="P100" s="236"/>
      <c r="Q100" s="236"/>
      <c r="R100" s="236"/>
      <c r="S100" s="235"/>
      <c r="T100" s="235"/>
      <c r="U100" s="235"/>
      <c r="V100" s="236"/>
      <c r="W100" s="236" t="s">
        <v>1194</v>
      </c>
      <c r="X100" s="229">
        <f t="shared" si="1"/>
        <v>1</v>
      </c>
    </row>
    <row r="101" spans="1:24">
      <c r="A101" s="233">
        <v>99</v>
      </c>
      <c r="B101" s="234" t="s">
        <v>43</v>
      </c>
      <c r="C101" s="234" t="s">
        <v>58</v>
      </c>
      <c r="D101" s="235" t="s">
        <v>1193</v>
      </c>
      <c r="E101" s="236"/>
      <c r="F101" s="236"/>
      <c r="G101" s="236"/>
      <c r="H101" s="236"/>
      <c r="I101" s="236"/>
      <c r="J101" s="236"/>
      <c r="K101" s="235"/>
      <c r="L101" s="235"/>
      <c r="M101" s="235"/>
      <c r="N101" s="236"/>
      <c r="O101" s="236"/>
      <c r="P101" s="236"/>
      <c r="Q101" s="236"/>
      <c r="R101" s="236"/>
      <c r="S101" s="235"/>
      <c r="T101" s="235"/>
      <c r="U101" s="235" t="s">
        <v>1194</v>
      </c>
      <c r="V101" s="236"/>
      <c r="W101" s="236" t="s">
        <v>1194</v>
      </c>
      <c r="X101" s="229">
        <f t="shared" si="1"/>
        <v>2</v>
      </c>
    </row>
    <row r="102" spans="1:24">
      <c r="A102" s="233">
        <v>100</v>
      </c>
      <c r="B102" s="234" t="s">
        <v>43</v>
      </c>
      <c r="C102" s="234" t="s">
        <v>380</v>
      </c>
      <c r="D102" s="235" t="s">
        <v>1192</v>
      </c>
      <c r="E102" s="236"/>
      <c r="F102" s="236"/>
      <c r="G102" s="236"/>
      <c r="H102" s="236"/>
      <c r="I102" s="236"/>
      <c r="J102" s="236"/>
      <c r="K102" s="235"/>
      <c r="L102" s="235"/>
      <c r="M102" s="235"/>
      <c r="N102" s="236"/>
      <c r="O102" s="236"/>
      <c r="P102" s="236"/>
      <c r="Q102" s="236"/>
      <c r="R102" s="236"/>
      <c r="S102" s="235"/>
      <c r="T102" s="235"/>
      <c r="U102" s="235" t="s">
        <v>1194</v>
      </c>
      <c r="V102" s="236"/>
      <c r="W102" s="236"/>
      <c r="X102" s="229">
        <f t="shared" si="1"/>
        <v>1</v>
      </c>
    </row>
    <row r="103" spans="1:24">
      <c r="A103" s="233">
        <v>101</v>
      </c>
      <c r="B103" s="234" t="s">
        <v>43</v>
      </c>
      <c r="C103" s="234" t="s">
        <v>66</v>
      </c>
      <c r="D103" s="235" t="s">
        <v>1193</v>
      </c>
      <c r="E103" s="236"/>
      <c r="F103" s="236"/>
      <c r="G103" s="236"/>
      <c r="H103" s="236"/>
      <c r="I103" s="236"/>
      <c r="J103" s="236"/>
      <c r="K103" s="235"/>
      <c r="L103" s="235"/>
      <c r="M103" s="235"/>
      <c r="N103" s="236"/>
      <c r="O103" s="236"/>
      <c r="P103" s="236"/>
      <c r="Q103" s="236"/>
      <c r="R103" s="236"/>
      <c r="S103" s="235"/>
      <c r="T103" s="235"/>
      <c r="U103" s="235" t="s">
        <v>1194</v>
      </c>
      <c r="V103" s="236"/>
      <c r="W103" s="236" t="s">
        <v>1194</v>
      </c>
      <c r="X103" s="229">
        <f t="shared" si="1"/>
        <v>2</v>
      </c>
    </row>
    <row r="104" spans="1:24">
      <c r="A104" s="233">
        <v>102</v>
      </c>
      <c r="B104" s="234" t="s">
        <v>43</v>
      </c>
      <c r="C104" s="234" t="s">
        <v>382</v>
      </c>
      <c r="D104" s="235" t="s">
        <v>1192</v>
      </c>
      <c r="E104" s="236"/>
      <c r="F104" s="236"/>
      <c r="G104" s="236"/>
      <c r="H104" s="236"/>
      <c r="I104" s="236"/>
      <c r="J104" s="236"/>
      <c r="K104" s="235"/>
      <c r="L104" s="235"/>
      <c r="M104" s="235"/>
      <c r="N104" s="236"/>
      <c r="O104" s="236"/>
      <c r="P104" s="236"/>
      <c r="Q104" s="236"/>
      <c r="R104" s="236"/>
      <c r="S104" s="235"/>
      <c r="T104" s="235"/>
      <c r="U104" s="235" t="s">
        <v>1194</v>
      </c>
      <c r="V104" s="236"/>
      <c r="W104" s="236"/>
      <c r="X104" s="229">
        <f t="shared" si="1"/>
        <v>1</v>
      </c>
    </row>
    <row r="105" spans="1:24">
      <c r="A105" s="233">
        <v>103</v>
      </c>
      <c r="B105" s="234" t="s">
        <v>43</v>
      </c>
      <c r="C105" s="234" t="s">
        <v>383</v>
      </c>
      <c r="D105" s="235" t="s">
        <v>1192</v>
      </c>
      <c r="E105" s="236"/>
      <c r="F105" s="236"/>
      <c r="G105" s="236"/>
      <c r="H105" s="236"/>
      <c r="I105" s="236"/>
      <c r="J105" s="236"/>
      <c r="K105" s="235"/>
      <c r="L105" s="235"/>
      <c r="M105" s="235"/>
      <c r="N105" s="236"/>
      <c r="O105" s="236"/>
      <c r="P105" s="236"/>
      <c r="Q105" s="236"/>
      <c r="R105" s="236"/>
      <c r="S105" s="235"/>
      <c r="T105" s="235"/>
      <c r="U105" s="235" t="s">
        <v>1194</v>
      </c>
      <c r="V105" s="236"/>
      <c r="W105" s="236"/>
      <c r="X105" s="229">
        <f t="shared" si="1"/>
        <v>1</v>
      </c>
    </row>
    <row r="106" spans="1:24">
      <c r="A106" s="233">
        <v>104</v>
      </c>
      <c r="B106" s="234" t="s">
        <v>43</v>
      </c>
      <c r="C106" s="234" t="s">
        <v>381</v>
      </c>
      <c r="D106" s="235" t="s">
        <v>1192</v>
      </c>
      <c r="E106" s="236"/>
      <c r="F106" s="236"/>
      <c r="G106" s="236"/>
      <c r="H106" s="236"/>
      <c r="I106" s="236"/>
      <c r="J106" s="236"/>
      <c r="K106" s="235"/>
      <c r="L106" s="235"/>
      <c r="M106" s="235"/>
      <c r="N106" s="236"/>
      <c r="O106" s="236"/>
      <c r="P106" s="236"/>
      <c r="Q106" s="236"/>
      <c r="R106" s="236"/>
      <c r="S106" s="235"/>
      <c r="T106" s="235"/>
      <c r="U106" s="235" t="s">
        <v>1194</v>
      </c>
      <c r="V106" s="236"/>
      <c r="W106" s="236"/>
      <c r="X106" s="229">
        <f t="shared" si="1"/>
        <v>1</v>
      </c>
    </row>
    <row r="107" spans="1:24">
      <c r="A107" s="233">
        <v>105</v>
      </c>
      <c r="B107" s="234" t="s">
        <v>194</v>
      </c>
      <c r="C107" s="234" t="s">
        <v>211</v>
      </c>
      <c r="D107" s="235" t="s">
        <v>1192</v>
      </c>
      <c r="E107" s="236"/>
      <c r="F107" s="236"/>
      <c r="G107" s="236"/>
      <c r="H107" s="236"/>
      <c r="I107" s="236"/>
      <c r="J107" s="236"/>
      <c r="K107" s="235"/>
      <c r="L107" s="235"/>
      <c r="M107" s="235"/>
      <c r="N107" s="236"/>
      <c r="O107" s="236"/>
      <c r="P107" s="236"/>
      <c r="Q107" s="236"/>
      <c r="R107" s="236"/>
      <c r="S107" s="235"/>
      <c r="T107" s="235"/>
      <c r="U107" s="235"/>
      <c r="V107" s="236" t="s">
        <v>1194</v>
      </c>
      <c r="W107" s="236"/>
      <c r="X107" s="229">
        <f t="shared" si="1"/>
        <v>1</v>
      </c>
    </row>
    <row r="108" spans="1:24">
      <c r="A108" s="233">
        <v>106</v>
      </c>
      <c r="B108" s="234" t="s">
        <v>194</v>
      </c>
      <c r="C108" s="234" t="s">
        <v>212</v>
      </c>
      <c r="D108" s="235" t="s">
        <v>1192</v>
      </c>
      <c r="E108" s="236"/>
      <c r="F108" s="236"/>
      <c r="G108" s="236"/>
      <c r="H108" s="236"/>
      <c r="I108" s="236"/>
      <c r="J108" s="236"/>
      <c r="K108" s="235"/>
      <c r="L108" s="235"/>
      <c r="M108" s="235"/>
      <c r="N108" s="236"/>
      <c r="O108" s="236"/>
      <c r="P108" s="236"/>
      <c r="Q108" s="236"/>
      <c r="R108" s="236"/>
      <c r="S108" s="235"/>
      <c r="T108" s="235"/>
      <c r="U108" s="235"/>
      <c r="V108" s="236" t="s">
        <v>1194</v>
      </c>
      <c r="W108" s="236"/>
      <c r="X108" s="229">
        <f t="shared" si="1"/>
        <v>1</v>
      </c>
    </row>
    <row r="109" spans="1:24">
      <c r="A109" s="233">
        <v>107</v>
      </c>
      <c r="B109" s="234" t="s">
        <v>194</v>
      </c>
      <c r="C109" s="234" t="s">
        <v>204</v>
      </c>
      <c r="D109" s="235" t="s">
        <v>1192</v>
      </c>
      <c r="E109" s="236"/>
      <c r="F109" s="236"/>
      <c r="G109" s="236"/>
      <c r="H109" s="236"/>
      <c r="I109" s="236"/>
      <c r="J109" s="236"/>
      <c r="K109" s="235"/>
      <c r="L109" s="235"/>
      <c r="M109" s="235"/>
      <c r="N109" s="236"/>
      <c r="O109" s="236"/>
      <c r="P109" s="236"/>
      <c r="Q109" s="236"/>
      <c r="R109" s="236" t="s">
        <v>1194</v>
      </c>
      <c r="S109" s="235"/>
      <c r="T109" s="235" t="s">
        <v>1194</v>
      </c>
      <c r="U109" s="235"/>
      <c r="V109" s="236" t="s">
        <v>1194</v>
      </c>
      <c r="W109" s="236"/>
      <c r="X109" s="229">
        <f t="shared" si="1"/>
        <v>3</v>
      </c>
    </row>
    <row r="110" spans="1:24">
      <c r="A110" s="233">
        <v>108</v>
      </c>
      <c r="B110" s="234" t="s">
        <v>194</v>
      </c>
      <c r="C110" s="234" t="s">
        <v>199</v>
      </c>
      <c r="D110" s="235" t="s">
        <v>1192</v>
      </c>
      <c r="E110" s="236"/>
      <c r="F110" s="236"/>
      <c r="G110" s="236"/>
      <c r="H110" s="236"/>
      <c r="I110" s="236"/>
      <c r="J110" s="236"/>
      <c r="K110" s="235"/>
      <c r="L110" s="235"/>
      <c r="M110" s="235"/>
      <c r="N110" s="236"/>
      <c r="O110" s="236"/>
      <c r="P110" s="236"/>
      <c r="Q110" s="236"/>
      <c r="R110" s="236"/>
      <c r="S110" s="235"/>
      <c r="T110" s="235"/>
      <c r="U110" s="235"/>
      <c r="V110" s="236" t="s">
        <v>1194</v>
      </c>
      <c r="W110" s="236"/>
      <c r="X110" s="229">
        <f t="shared" si="1"/>
        <v>1</v>
      </c>
    </row>
    <row r="111" spans="1:24">
      <c r="A111" s="233">
        <v>109</v>
      </c>
      <c r="B111" s="234" t="s">
        <v>194</v>
      </c>
      <c r="C111" s="234" t="s">
        <v>848</v>
      </c>
      <c r="D111" s="235" t="s">
        <v>1193</v>
      </c>
      <c r="E111" s="236"/>
      <c r="F111" s="236"/>
      <c r="G111" s="236"/>
      <c r="H111" s="236"/>
      <c r="I111" s="236"/>
      <c r="J111" s="236"/>
      <c r="K111" s="235"/>
      <c r="L111" s="235"/>
      <c r="M111" s="235"/>
      <c r="N111" s="236" t="s">
        <v>1194</v>
      </c>
      <c r="O111" s="236"/>
      <c r="P111" s="236"/>
      <c r="Q111" s="236"/>
      <c r="R111" s="236"/>
      <c r="S111" s="235"/>
      <c r="T111" s="235"/>
      <c r="U111" s="235"/>
      <c r="V111" s="236"/>
      <c r="W111" s="236"/>
      <c r="X111" s="229">
        <f t="shared" si="1"/>
        <v>1</v>
      </c>
    </row>
    <row r="112" spans="1:24">
      <c r="A112" s="233">
        <v>110</v>
      </c>
      <c r="B112" s="234" t="s">
        <v>194</v>
      </c>
      <c r="C112" s="234" t="s">
        <v>196</v>
      </c>
      <c r="D112" s="235" t="s">
        <v>1192</v>
      </c>
      <c r="E112" s="236"/>
      <c r="F112" s="236"/>
      <c r="G112" s="236"/>
      <c r="H112" s="236"/>
      <c r="I112" s="236"/>
      <c r="J112" s="236"/>
      <c r="K112" s="235"/>
      <c r="L112" s="235"/>
      <c r="M112" s="235"/>
      <c r="N112" s="236"/>
      <c r="O112" s="236"/>
      <c r="P112" s="236"/>
      <c r="Q112" s="236"/>
      <c r="R112" s="236"/>
      <c r="S112" s="235"/>
      <c r="T112" s="235"/>
      <c r="U112" s="235"/>
      <c r="V112" s="236" t="s">
        <v>1194</v>
      </c>
      <c r="W112" s="236"/>
      <c r="X112" s="229">
        <f t="shared" si="1"/>
        <v>1</v>
      </c>
    </row>
    <row r="113" spans="1:24">
      <c r="A113" s="233">
        <v>111</v>
      </c>
      <c r="B113" s="234" t="s">
        <v>194</v>
      </c>
      <c r="C113" s="234" t="s">
        <v>205</v>
      </c>
      <c r="D113" s="235" t="s">
        <v>1192</v>
      </c>
      <c r="E113" s="236"/>
      <c r="F113" s="236"/>
      <c r="G113" s="236"/>
      <c r="H113" s="236"/>
      <c r="I113" s="236"/>
      <c r="J113" s="236"/>
      <c r="K113" s="235"/>
      <c r="L113" s="235"/>
      <c r="M113" s="235"/>
      <c r="N113" s="236"/>
      <c r="O113" s="236"/>
      <c r="P113" s="236"/>
      <c r="Q113" s="236"/>
      <c r="R113" s="236" t="s">
        <v>1194</v>
      </c>
      <c r="S113" s="235"/>
      <c r="T113" s="235"/>
      <c r="U113" s="235"/>
      <c r="V113" s="236" t="s">
        <v>1194</v>
      </c>
      <c r="W113" s="236"/>
      <c r="X113" s="229">
        <f t="shared" si="1"/>
        <v>2</v>
      </c>
    </row>
    <row r="114" spans="1:24">
      <c r="A114" s="233">
        <v>112</v>
      </c>
      <c r="B114" s="234" t="s">
        <v>194</v>
      </c>
      <c r="C114" s="234" t="s">
        <v>193</v>
      </c>
      <c r="D114" s="235" t="s">
        <v>1192</v>
      </c>
      <c r="E114" s="236"/>
      <c r="F114" s="236"/>
      <c r="G114" s="236"/>
      <c r="H114" s="236"/>
      <c r="I114" s="236"/>
      <c r="J114" s="236"/>
      <c r="K114" s="235"/>
      <c r="L114" s="235"/>
      <c r="M114" s="235"/>
      <c r="N114" s="236"/>
      <c r="O114" s="236"/>
      <c r="P114" s="236"/>
      <c r="Q114" s="236"/>
      <c r="R114" s="236"/>
      <c r="S114" s="235"/>
      <c r="T114" s="235"/>
      <c r="U114" s="235"/>
      <c r="V114" s="236" t="s">
        <v>1194</v>
      </c>
      <c r="W114" s="236"/>
      <c r="X114" s="229">
        <f t="shared" si="1"/>
        <v>1</v>
      </c>
    </row>
    <row r="115" spans="1:24">
      <c r="A115" s="233">
        <v>113</v>
      </c>
      <c r="B115" s="234" t="s">
        <v>194</v>
      </c>
      <c r="C115" s="234" t="s">
        <v>203</v>
      </c>
      <c r="D115" s="235" t="s">
        <v>1192</v>
      </c>
      <c r="E115" s="236"/>
      <c r="F115" s="236"/>
      <c r="G115" s="236"/>
      <c r="H115" s="236"/>
      <c r="I115" s="236"/>
      <c r="J115" s="236"/>
      <c r="K115" s="235"/>
      <c r="L115" s="235"/>
      <c r="M115" s="235"/>
      <c r="N115" s="236"/>
      <c r="O115" s="236"/>
      <c r="P115" s="236"/>
      <c r="Q115" s="236"/>
      <c r="R115" s="236"/>
      <c r="S115" s="235"/>
      <c r="T115" s="235"/>
      <c r="U115" s="235"/>
      <c r="V115" s="236" t="s">
        <v>1194</v>
      </c>
      <c r="W115" s="236"/>
      <c r="X115" s="229">
        <f t="shared" si="1"/>
        <v>1</v>
      </c>
    </row>
    <row r="116" spans="1:24">
      <c r="A116" s="233">
        <v>114</v>
      </c>
      <c r="B116" s="234" t="s">
        <v>194</v>
      </c>
      <c r="C116" s="234" t="s">
        <v>201</v>
      </c>
      <c r="D116" s="235" t="s">
        <v>1192</v>
      </c>
      <c r="E116" s="236"/>
      <c r="F116" s="236"/>
      <c r="G116" s="236"/>
      <c r="H116" s="236"/>
      <c r="I116" s="236"/>
      <c r="J116" s="236"/>
      <c r="K116" s="235"/>
      <c r="L116" s="235"/>
      <c r="M116" s="235"/>
      <c r="N116" s="236"/>
      <c r="O116" s="236"/>
      <c r="P116" s="236"/>
      <c r="Q116" s="236"/>
      <c r="R116" s="236"/>
      <c r="S116" s="235"/>
      <c r="T116" s="235"/>
      <c r="U116" s="235"/>
      <c r="V116" s="236" t="s">
        <v>1194</v>
      </c>
      <c r="W116" s="236"/>
      <c r="X116" s="229">
        <f t="shared" si="1"/>
        <v>1</v>
      </c>
    </row>
    <row r="117" spans="1:24">
      <c r="A117" s="233">
        <v>115</v>
      </c>
      <c r="B117" s="234" t="s">
        <v>194</v>
      </c>
      <c r="C117" s="234" t="s">
        <v>209</v>
      </c>
      <c r="D117" s="235" t="s">
        <v>1192</v>
      </c>
      <c r="E117" s="236"/>
      <c r="F117" s="236"/>
      <c r="G117" s="236"/>
      <c r="H117" s="236"/>
      <c r="I117" s="236"/>
      <c r="J117" s="236"/>
      <c r="K117" s="235"/>
      <c r="L117" s="235"/>
      <c r="M117" s="235"/>
      <c r="N117" s="236"/>
      <c r="O117" s="236"/>
      <c r="P117" s="236"/>
      <c r="Q117" s="236"/>
      <c r="R117" s="236"/>
      <c r="S117" s="235"/>
      <c r="T117" s="235"/>
      <c r="U117" s="235"/>
      <c r="V117" s="236" t="s">
        <v>1194</v>
      </c>
      <c r="W117" s="236"/>
      <c r="X117" s="229">
        <f t="shared" si="1"/>
        <v>1</v>
      </c>
    </row>
    <row r="118" spans="1:24">
      <c r="A118" s="233">
        <v>116</v>
      </c>
      <c r="B118" s="234" t="s">
        <v>194</v>
      </c>
      <c r="C118" s="234" t="s">
        <v>206</v>
      </c>
      <c r="D118" s="235" t="s">
        <v>1192</v>
      </c>
      <c r="E118" s="236"/>
      <c r="F118" s="236"/>
      <c r="G118" s="236"/>
      <c r="H118" s="236"/>
      <c r="I118" s="236"/>
      <c r="J118" s="236"/>
      <c r="K118" s="235"/>
      <c r="L118" s="235"/>
      <c r="M118" s="235"/>
      <c r="N118" s="236"/>
      <c r="O118" s="236"/>
      <c r="P118" s="236"/>
      <c r="Q118" s="236"/>
      <c r="R118" s="236"/>
      <c r="S118" s="235"/>
      <c r="T118" s="235"/>
      <c r="U118" s="235"/>
      <c r="V118" s="236" t="s">
        <v>1194</v>
      </c>
      <c r="W118" s="236"/>
      <c r="X118" s="229">
        <f t="shared" si="1"/>
        <v>1</v>
      </c>
    </row>
    <row r="119" spans="1:24">
      <c r="A119" s="233">
        <v>117</v>
      </c>
      <c r="B119" s="234" t="s">
        <v>161</v>
      </c>
      <c r="C119" s="234" t="s">
        <v>172</v>
      </c>
      <c r="D119" s="235" t="s">
        <v>1193</v>
      </c>
      <c r="E119" s="236"/>
      <c r="F119" s="236"/>
      <c r="G119" s="236"/>
      <c r="H119" s="236"/>
      <c r="I119" s="236"/>
      <c r="J119" s="236"/>
      <c r="K119" s="235"/>
      <c r="L119" s="235"/>
      <c r="M119" s="235"/>
      <c r="N119" s="236"/>
      <c r="O119" s="236"/>
      <c r="P119" s="236"/>
      <c r="Q119" s="236"/>
      <c r="R119" s="236"/>
      <c r="S119" s="235"/>
      <c r="T119" s="235"/>
      <c r="U119" s="235"/>
      <c r="V119" s="236"/>
      <c r="W119" s="236" t="s">
        <v>1194</v>
      </c>
      <c r="X119" s="229">
        <f t="shared" si="1"/>
        <v>1</v>
      </c>
    </row>
    <row r="120" spans="1:24">
      <c r="A120" s="233">
        <v>118</v>
      </c>
      <c r="B120" s="234" t="s">
        <v>161</v>
      </c>
      <c r="C120" s="234" t="s">
        <v>202</v>
      </c>
      <c r="D120" s="235" t="s">
        <v>1193</v>
      </c>
      <c r="E120" s="236"/>
      <c r="F120" s="236"/>
      <c r="G120" s="236"/>
      <c r="H120" s="236"/>
      <c r="I120" s="236"/>
      <c r="J120" s="236"/>
      <c r="K120" s="235"/>
      <c r="L120" s="235"/>
      <c r="M120" s="235"/>
      <c r="N120" s="236"/>
      <c r="O120" s="236"/>
      <c r="P120" s="236"/>
      <c r="Q120" s="236"/>
      <c r="R120" s="236"/>
      <c r="S120" s="235"/>
      <c r="T120" s="235"/>
      <c r="U120" s="235"/>
      <c r="V120" s="236"/>
      <c r="W120" s="236" t="s">
        <v>1194</v>
      </c>
      <c r="X120" s="229">
        <f t="shared" si="1"/>
        <v>1</v>
      </c>
    </row>
    <row r="121" spans="1:24">
      <c r="A121" s="233">
        <v>119</v>
      </c>
      <c r="B121" s="234" t="s">
        <v>161</v>
      </c>
      <c r="C121" s="234" t="s">
        <v>42</v>
      </c>
      <c r="D121" s="235" t="s">
        <v>1193</v>
      </c>
      <c r="E121" s="236"/>
      <c r="F121" s="236"/>
      <c r="G121" s="236"/>
      <c r="H121" s="236"/>
      <c r="I121" s="236"/>
      <c r="J121" s="236"/>
      <c r="K121" s="235"/>
      <c r="L121" s="235"/>
      <c r="M121" s="235"/>
      <c r="N121" s="236"/>
      <c r="O121" s="236"/>
      <c r="P121" s="236"/>
      <c r="Q121" s="236"/>
      <c r="R121" s="236"/>
      <c r="S121" s="235"/>
      <c r="T121" s="235"/>
      <c r="U121" s="235"/>
      <c r="V121" s="236"/>
      <c r="W121" s="236" t="s">
        <v>1194</v>
      </c>
      <c r="X121" s="229">
        <f t="shared" si="1"/>
        <v>1</v>
      </c>
    </row>
    <row r="122" spans="1:24">
      <c r="A122" s="233">
        <v>120</v>
      </c>
      <c r="B122" s="234" t="s">
        <v>161</v>
      </c>
      <c r="C122" s="234" t="s">
        <v>192</v>
      </c>
      <c r="D122" s="235" t="s">
        <v>1193</v>
      </c>
      <c r="E122" s="236"/>
      <c r="F122" s="236"/>
      <c r="G122" s="236"/>
      <c r="H122" s="236"/>
      <c r="I122" s="236"/>
      <c r="J122" s="236"/>
      <c r="K122" s="235"/>
      <c r="L122" s="235"/>
      <c r="M122" s="235"/>
      <c r="N122" s="236"/>
      <c r="O122" s="236"/>
      <c r="P122" s="236"/>
      <c r="Q122" s="236"/>
      <c r="R122" s="236"/>
      <c r="S122" s="235"/>
      <c r="T122" s="235"/>
      <c r="U122" s="235"/>
      <c r="V122" s="236"/>
      <c r="W122" s="236" t="s">
        <v>1194</v>
      </c>
      <c r="X122" s="229">
        <f t="shared" si="1"/>
        <v>1</v>
      </c>
    </row>
    <row r="123" spans="1:24">
      <c r="A123" s="233">
        <v>121</v>
      </c>
      <c r="B123" s="234" t="s">
        <v>161</v>
      </c>
      <c r="C123" s="234" t="s">
        <v>198</v>
      </c>
      <c r="D123" s="235" t="s">
        <v>1193</v>
      </c>
      <c r="E123" s="236"/>
      <c r="F123" s="236"/>
      <c r="G123" s="236"/>
      <c r="H123" s="236"/>
      <c r="I123" s="236"/>
      <c r="J123" s="236"/>
      <c r="K123" s="235"/>
      <c r="L123" s="235"/>
      <c r="M123" s="235"/>
      <c r="N123" s="236"/>
      <c r="O123" s="236"/>
      <c r="P123" s="236"/>
      <c r="Q123" s="236"/>
      <c r="R123" s="236"/>
      <c r="S123" s="235"/>
      <c r="T123" s="235"/>
      <c r="U123" s="235"/>
      <c r="V123" s="236"/>
      <c r="W123" s="236" t="s">
        <v>1194</v>
      </c>
      <c r="X123" s="229">
        <f t="shared" si="1"/>
        <v>1</v>
      </c>
    </row>
    <row r="124" spans="1:24">
      <c r="A124" s="233">
        <v>122</v>
      </c>
      <c r="B124" s="234" t="s">
        <v>161</v>
      </c>
      <c r="C124" s="234" t="s">
        <v>166</v>
      </c>
      <c r="D124" s="235" t="s">
        <v>1193</v>
      </c>
      <c r="E124" s="236"/>
      <c r="F124" s="236"/>
      <c r="G124" s="236"/>
      <c r="H124" s="236"/>
      <c r="I124" s="236"/>
      <c r="J124" s="236"/>
      <c r="K124" s="235"/>
      <c r="L124" s="235"/>
      <c r="M124" s="235"/>
      <c r="N124" s="236"/>
      <c r="O124" s="236"/>
      <c r="P124" s="236"/>
      <c r="Q124" s="236"/>
      <c r="R124" s="236"/>
      <c r="S124" s="235"/>
      <c r="T124" s="235"/>
      <c r="U124" s="235"/>
      <c r="V124" s="236"/>
      <c r="W124" s="236" t="s">
        <v>1194</v>
      </c>
      <c r="X124" s="229">
        <f t="shared" si="1"/>
        <v>1</v>
      </c>
    </row>
    <row r="125" spans="1:24">
      <c r="A125" s="233">
        <v>123</v>
      </c>
      <c r="B125" s="234" t="s">
        <v>161</v>
      </c>
      <c r="C125" s="234" t="s">
        <v>191</v>
      </c>
      <c r="D125" s="235" t="s">
        <v>1193</v>
      </c>
      <c r="E125" s="236"/>
      <c r="F125" s="236"/>
      <c r="G125" s="236"/>
      <c r="H125" s="236"/>
      <c r="I125" s="236"/>
      <c r="J125" s="236"/>
      <c r="K125" s="235"/>
      <c r="L125" s="235"/>
      <c r="M125" s="235"/>
      <c r="N125" s="236"/>
      <c r="O125" s="236"/>
      <c r="P125" s="236"/>
      <c r="Q125" s="236"/>
      <c r="R125" s="236"/>
      <c r="S125" s="235"/>
      <c r="T125" s="235"/>
      <c r="U125" s="235"/>
      <c r="V125" s="236"/>
      <c r="W125" s="236" t="s">
        <v>1194</v>
      </c>
      <c r="X125" s="229">
        <f t="shared" si="1"/>
        <v>1</v>
      </c>
    </row>
    <row r="126" spans="1:24">
      <c r="A126" s="233">
        <v>124</v>
      </c>
      <c r="B126" s="234" t="s">
        <v>161</v>
      </c>
      <c r="C126" s="234" t="s">
        <v>160</v>
      </c>
      <c r="D126" s="235" t="s">
        <v>1193</v>
      </c>
      <c r="E126" s="236"/>
      <c r="F126" s="236"/>
      <c r="G126" s="236"/>
      <c r="H126" s="236"/>
      <c r="I126" s="236"/>
      <c r="J126" s="236"/>
      <c r="K126" s="235"/>
      <c r="L126" s="235"/>
      <c r="M126" s="235"/>
      <c r="N126" s="236"/>
      <c r="O126" s="236"/>
      <c r="P126" s="236"/>
      <c r="Q126" s="236"/>
      <c r="R126" s="236"/>
      <c r="S126" s="235"/>
      <c r="T126" s="235"/>
      <c r="U126" s="235"/>
      <c r="V126" s="236"/>
      <c r="W126" s="236" t="s">
        <v>1194</v>
      </c>
      <c r="X126" s="229">
        <f t="shared" si="1"/>
        <v>1</v>
      </c>
    </row>
    <row r="127" spans="1:24">
      <c r="A127" s="233">
        <v>125</v>
      </c>
      <c r="B127" s="234" t="s">
        <v>263</v>
      </c>
      <c r="C127" s="234" t="s">
        <v>837</v>
      </c>
      <c r="D127" s="235" t="s">
        <v>1192</v>
      </c>
      <c r="E127" s="236"/>
      <c r="F127" s="236"/>
      <c r="G127" s="236"/>
      <c r="H127" s="236"/>
      <c r="I127" s="236"/>
      <c r="J127" s="236"/>
      <c r="K127" s="235"/>
      <c r="L127" s="235"/>
      <c r="M127" s="235" t="s">
        <v>1194</v>
      </c>
      <c r="N127" s="236"/>
      <c r="O127" s="236"/>
      <c r="P127" s="236"/>
      <c r="Q127" s="236"/>
      <c r="R127" s="236"/>
      <c r="S127" s="235"/>
      <c r="T127" s="235"/>
      <c r="U127" s="235"/>
      <c r="V127" s="236"/>
      <c r="W127" s="236"/>
      <c r="X127" s="229">
        <f t="shared" si="1"/>
        <v>1</v>
      </c>
    </row>
    <row r="128" spans="1:24">
      <c r="A128" s="233">
        <v>126</v>
      </c>
      <c r="B128" s="234" t="s">
        <v>263</v>
      </c>
      <c r="C128" s="234" t="s">
        <v>579</v>
      </c>
      <c r="D128" s="235" t="s">
        <v>1192</v>
      </c>
      <c r="E128" s="236"/>
      <c r="F128" s="236"/>
      <c r="G128" s="236"/>
      <c r="H128" s="236" t="s">
        <v>1194</v>
      </c>
      <c r="I128" s="236"/>
      <c r="J128" s="236"/>
      <c r="K128" s="235"/>
      <c r="L128" s="235"/>
      <c r="M128" s="235"/>
      <c r="N128" s="236"/>
      <c r="O128" s="236"/>
      <c r="P128" s="236"/>
      <c r="Q128" s="236"/>
      <c r="R128" s="236"/>
      <c r="S128" s="235"/>
      <c r="T128" s="235"/>
      <c r="U128" s="235"/>
      <c r="V128" s="236"/>
      <c r="W128" s="236"/>
      <c r="X128" s="229">
        <f t="shared" si="1"/>
        <v>1</v>
      </c>
    </row>
    <row r="129" spans="1:24">
      <c r="A129" s="233">
        <v>127</v>
      </c>
      <c r="B129" s="234" t="s">
        <v>263</v>
      </c>
      <c r="C129" s="234" t="s">
        <v>265</v>
      </c>
      <c r="D129" s="235" t="s">
        <v>1193</v>
      </c>
      <c r="E129" s="236"/>
      <c r="F129" s="236"/>
      <c r="G129" s="236"/>
      <c r="H129" s="236"/>
      <c r="I129" s="236"/>
      <c r="J129" s="236"/>
      <c r="K129" s="235"/>
      <c r="L129" s="235"/>
      <c r="M129" s="235"/>
      <c r="N129" s="236"/>
      <c r="O129" s="236"/>
      <c r="P129" s="236"/>
      <c r="Q129" s="236"/>
      <c r="R129" s="236"/>
      <c r="S129" s="235"/>
      <c r="T129" s="235"/>
      <c r="U129" s="235"/>
      <c r="V129" s="236"/>
      <c r="W129" s="236" t="s">
        <v>1194</v>
      </c>
      <c r="X129" s="229">
        <f t="shared" si="1"/>
        <v>1</v>
      </c>
    </row>
    <row r="130" spans="1:24">
      <c r="A130" s="233">
        <v>128</v>
      </c>
      <c r="B130" s="234" t="s">
        <v>263</v>
      </c>
      <c r="C130" s="234" t="s">
        <v>834</v>
      </c>
      <c r="D130" s="235" t="s">
        <v>1192</v>
      </c>
      <c r="E130" s="236"/>
      <c r="F130" s="236"/>
      <c r="G130" s="236"/>
      <c r="H130" s="236"/>
      <c r="I130" s="236"/>
      <c r="J130" s="236"/>
      <c r="K130" s="235"/>
      <c r="L130" s="235"/>
      <c r="M130" s="235" t="s">
        <v>1194</v>
      </c>
      <c r="N130" s="236"/>
      <c r="O130" s="236"/>
      <c r="P130" s="236"/>
      <c r="Q130" s="236"/>
      <c r="R130" s="236"/>
      <c r="S130" s="235"/>
      <c r="T130" s="235"/>
      <c r="U130" s="235"/>
      <c r="V130" s="236"/>
      <c r="W130" s="236"/>
      <c r="X130" s="229">
        <f t="shared" si="1"/>
        <v>1</v>
      </c>
    </row>
    <row r="131" spans="1:24">
      <c r="A131" s="233">
        <v>129</v>
      </c>
      <c r="B131" s="234" t="s">
        <v>263</v>
      </c>
      <c r="C131" s="234" t="s">
        <v>269</v>
      </c>
      <c r="D131" s="235" t="s">
        <v>1193</v>
      </c>
      <c r="E131" s="236"/>
      <c r="F131" s="236"/>
      <c r="G131" s="236"/>
      <c r="H131" s="236"/>
      <c r="I131" s="236"/>
      <c r="J131" s="236"/>
      <c r="K131" s="235"/>
      <c r="L131" s="235"/>
      <c r="M131" s="235"/>
      <c r="N131" s="236"/>
      <c r="O131" s="236"/>
      <c r="P131" s="236"/>
      <c r="Q131" s="236"/>
      <c r="R131" s="236"/>
      <c r="S131" s="235"/>
      <c r="T131" s="235"/>
      <c r="U131" s="235"/>
      <c r="V131" s="236"/>
      <c r="W131" s="236" t="s">
        <v>1194</v>
      </c>
      <c r="X131" s="229">
        <f t="shared" si="1"/>
        <v>1</v>
      </c>
    </row>
    <row r="132" spans="1:24">
      <c r="A132" s="233">
        <v>130</v>
      </c>
      <c r="B132" s="234" t="s">
        <v>263</v>
      </c>
      <c r="C132" s="234" t="s">
        <v>262</v>
      </c>
      <c r="D132" s="235" t="s">
        <v>1193</v>
      </c>
      <c r="E132" s="236"/>
      <c r="F132" s="236"/>
      <c r="G132" s="236"/>
      <c r="H132" s="236"/>
      <c r="I132" s="236"/>
      <c r="J132" s="236"/>
      <c r="K132" s="235"/>
      <c r="L132" s="235"/>
      <c r="M132" s="235"/>
      <c r="N132" s="236"/>
      <c r="O132" s="236"/>
      <c r="P132" s="236"/>
      <c r="Q132" s="236"/>
      <c r="R132" s="236"/>
      <c r="S132" s="235"/>
      <c r="T132" s="235"/>
      <c r="U132" s="235"/>
      <c r="V132" s="236"/>
      <c r="W132" s="236" t="s">
        <v>1194</v>
      </c>
      <c r="X132" s="229">
        <f t="shared" ref="X132:X195" si="2">COUNTIF(E132:W132,"x")</f>
        <v>1</v>
      </c>
    </row>
    <row r="133" spans="1:24">
      <c r="A133" s="233">
        <v>131</v>
      </c>
      <c r="B133" s="234" t="s">
        <v>263</v>
      </c>
      <c r="C133" s="234" t="s">
        <v>320</v>
      </c>
      <c r="D133" s="235" t="s">
        <v>1192</v>
      </c>
      <c r="E133" s="236"/>
      <c r="F133" s="236"/>
      <c r="G133" s="236" t="s">
        <v>1194</v>
      </c>
      <c r="H133" s="236"/>
      <c r="I133" s="236"/>
      <c r="J133" s="236"/>
      <c r="K133" s="235"/>
      <c r="L133" s="235"/>
      <c r="M133" s="235"/>
      <c r="N133" s="236"/>
      <c r="O133" s="236"/>
      <c r="P133" s="236"/>
      <c r="Q133" s="236"/>
      <c r="R133" s="236"/>
      <c r="S133" s="235"/>
      <c r="T133" s="235"/>
      <c r="U133" s="235"/>
      <c r="V133" s="236"/>
      <c r="W133" s="236"/>
      <c r="X133" s="229">
        <f t="shared" si="2"/>
        <v>1</v>
      </c>
    </row>
    <row r="134" spans="1:24">
      <c r="A134" s="233">
        <v>132</v>
      </c>
      <c r="B134" s="234" t="s">
        <v>256</v>
      </c>
      <c r="C134" s="234" t="s">
        <v>259</v>
      </c>
      <c r="D134" s="235" t="s">
        <v>1192</v>
      </c>
      <c r="E134" s="236"/>
      <c r="F134" s="236"/>
      <c r="G134" s="236"/>
      <c r="H134" s="236"/>
      <c r="I134" s="236"/>
      <c r="J134" s="236"/>
      <c r="K134" s="235"/>
      <c r="L134" s="235"/>
      <c r="M134" s="235"/>
      <c r="N134" s="236"/>
      <c r="O134" s="236"/>
      <c r="P134" s="236"/>
      <c r="Q134" s="236"/>
      <c r="R134" s="236"/>
      <c r="S134" s="235"/>
      <c r="T134" s="235"/>
      <c r="U134" s="235" t="s">
        <v>1194</v>
      </c>
      <c r="V134" s="236" t="s">
        <v>1194</v>
      </c>
      <c r="W134" s="236"/>
      <c r="X134" s="229">
        <f t="shared" si="2"/>
        <v>2</v>
      </c>
    </row>
    <row r="135" spans="1:24">
      <c r="A135" s="233">
        <v>133</v>
      </c>
      <c r="B135" s="234" t="s">
        <v>256</v>
      </c>
      <c r="C135" s="234" t="s">
        <v>689</v>
      </c>
      <c r="D135" s="235" t="s">
        <v>1193</v>
      </c>
      <c r="E135" s="236"/>
      <c r="F135" s="236" t="s">
        <v>1194</v>
      </c>
      <c r="G135" s="236"/>
      <c r="H135" s="236"/>
      <c r="I135" s="236"/>
      <c r="J135" s="236"/>
      <c r="K135" s="235"/>
      <c r="L135" s="235"/>
      <c r="M135" s="235"/>
      <c r="N135" s="236"/>
      <c r="O135" s="236"/>
      <c r="P135" s="236"/>
      <c r="Q135" s="236"/>
      <c r="R135" s="236"/>
      <c r="S135" s="235"/>
      <c r="T135" s="235"/>
      <c r="U135" s="235"/>
      <c r="V135" s="236"/>
      <c r="W135" s="236"/>
      <c r="X135" s="229">
        <f t="shared" si="2"/>
        <v>1</v>
      </c>
    </row>
    <row r="136" spans="1:24">
      <c r="A136" s="233">
        <v>134</v>
      </c>
      <c r="B136" s="234" t="s">
        <v>256</v>
      </c>
      <c r="C136" s="234" t="s">
        <v>434</v>
      </c>
      <c r="D136" s="235" t="s">
        <v>1193</v>
      </c>
      <c r="E136" s="236"/>
      <c r="F136" s="236"/>
      <c r="G136" s="236"/>
      <c r="H136" s="236"/>
      <c r="I136" s="236"/>
      <c r="J136" s="236"/>
      <c r="K136" s="235"/>
      <c r="L136" s="235"/>
      <c r="M136" s="235"/>
      <c r="N136" s="236"/>
      <c r="O136" s="236"/>
      <c r="P136" s="236"/>
      <c r="Q136" s="236"/>
      <c r="R136" s="236"/>
      <c r="S136" s="235"/>
      <c r="T136" s="235"/>
      <c r="U136" s="235" t="s">
        <v>1194</v>
      </c>
      <c r="V136" s="236"/>
      <c r="W136" s="236"/>
      <c r="X136" s="229">
        <f t="shared" si="2"/>
        <v>1</v>
      </c>
    </row>
    <row r="137" spans="1:24">
      <c r="A137" s="233">
        <v>135</v>
      </c>
      <c r="B137" s="234" t="s">
        <v>256</v>
      </c>
      <c r="C137" s="234" t="s">
        <v>436</v>
      </c>
      <c r="D137" s="235" t="s">
        <v>1192</v>
      </c>
      <c r="E137" s="236"/>
      <c r="F137" s="236"/>
      <c r="G137" s="236"/>
      <c r="H137" s="236"/>
      <c r="I137" s="236"/>
      <c r="J137" s="236"/>
      <c r="K137" s="235"/>
      <c r="L137" s="235"/>
      <c r="M137" s="235"/>
      <c r="N137" s="236"/>
      <c r="O137" s="236"/>
      <c r="P137" s="236"/>
      <c r="Q137" s="236"/>
      <c r="R137" s="236"/>
      <c r="S137" s="235"/>
      <c r="T137" s="235"/>
      <c r="U137" s="235" t="s">
        <v>1194</v>
      </c>
      <c r="V137" s="236"/>
      <c r="W137" s="236"/>
      <c r="X137" s="229">
        <f t="shared" si="2"/>
        <v>1</v>
      </c>
    </row>
    <row r="138" spans="1:24">
      <c r="A138" s="233">
        <v>136</v>
      </c>
      <c r="B138" s="234" t="s">
        <v>256</v>
      </c>
      <c r="C138" s="234" t="s">
        <v>597</v>
      </c>
      <c r="D138" s="235" t="s">
        <v>1192</v>
      </c>
      <c r="E138" s="236"/>
      <c r="F138" s="236"/>
      <c r="G138" s="236"/>
      <c r="H138" s="236" t="s">
        <v>1194</v>
      </c>
      <c r="I138" s="236"/>
      <c r="J138" s="236"/>
      <c r="K138" s="235"/>
      <c r="L138" s="235"/>
      <c r="M138" s="235"/>
      <c r="N138" s="236"/>
      <c r="O138" s="236"/>
      <c r="P138" s="236"/>
      <c r="Q138" s="236"/>
      <c r="R138" s="236"/>
      <c r="S138" s="235"/>
      <c r="T138" s="235"/>
      <c r="U138" s="235"/>
      <c r="V138" s="236"/>
      <c r="W138" s="236"/>
      <c r="X138" s="229">
        <f t="shared" si="2"/>
        <v>1</v>
      </c>
    </row>
    <row r="139" spans="1:24">
      <c r="A139" s="233">
        <v>137</v>
      </c>
      <c r="B139" s="234" t="s">
        <v>256</v>
      </c>
      <c r="C139" s="234" t="s">
        <v>433</v>
      </c>
      <c r="D139" s="235" t="s">
        <v>1193</v>
      </c>
      <c r="E139" s="236"/>
      <c r="F139" s="236"/>
      <c r="G139" s="236"/>
      <c r="H139" s="236"/>
      <c r="I139" s="236"/>
      <c r="J139" s="236"/>
      <c r="K139" s="235"/>
      <c r="L139" s="235"/>
      <c r="M139" s="235"/>
      <c r="N139" s="236"/>
      <c r="O139" s="236"/>
      <c r="P139" s="236"/>
      <c r="Q139" s="236"/>
      <c r="R139" s="236"/>
      <c r="S139" s="235"/>
      <c r="T139" s="235"/>
      <c r="U139" s="235" t="s">
        <v>1194</v>
      </c>
      <c r="V139" s="236"/>
      <c r="W139" s="236"/>
      <c r="X139" s="229">
        <f t="shared" si="2"/>
        <v>1</v>
      </c>
    </row>
    <row r="140" spans="1:24">
      <c r="A140" s="233">
        <v>138</v>
      </c>
      <c r="B140" s="234" t="s">
        <v>256</v>
      </c>
      <c r="C140" s="234" t="s">
        <v>264</v>
      </c>
      <c r="D140" s="235" t="s">
        <v>1192</v>
      </c>
      <c r="E140" s="236"/>
      <c r="F140" s="236"/>
      <c r="G140" s="236"/>
      <c r="H140" s="236"/>
      <c r="I140" s="236"/>
      <c r="J140" s="236"/>
      <c r="K140" s="235"/>
      <c r="L140" s="235"/>
      <c r="M140" s="235"/>
      <c r="N140" s="236"/>
      <c r="O140" s="236"/>
      <c r="P140" s="236"/>
      <c r="Q140" s="236"/>
      <c r="R140" s="236"/>
      <c r="S140" s="235"/>
      <c r="T140" s="235"/>
      <c r="U140" s="235"/>
      <c r="V140" s="236" t="s">
        <v>1194</v>
      </c>
      <c r="W140" s="236"/>
      <c r="X140" s="229">
        <f t="shared" si="2"/>
        <v>1</v>
      </c>
    </row>
    <row r="141" spans="1:24">
      <c r="A141" s="233">
        <v>139</v>
      </c>
      <c r="B141" s="234" t="s">
        <v>256</v>
      </c>
      <c r="C141" s="234" t="s">
        <v>267</v>
      </c>
      <c r="D141" s="235" t="s">
        <v>1192</v>
      </c>
      <c r="E141" s="236"/>
      <c r="F141" s="236"/>
      <c r="G141" s="236"/>
      <c r="H141" s="236"/>
      <c r="I141" s="236"/>
      <c r="J141" s="236"/>
      <c r="K141" s="235"/>
      <c r="L141" s="235"/>
      <c r="M141" s="235"/>
      <c r="N141" s="236"/>
      <c r="O141" s="236"/>
      <c r="P141" s="236"/>
      <c r="Q141" s="236"/>
      <c r="R141" s="236"/>
      <c r="S141" s="235"/>
      <c r="T141" s="235"/>
      <c r="U141" s="235"/>
      <c r="V141" s="236" t="s">
        <v>1194</v>
      </c>
      <c r="W141" s="236"/>
      <c r="X141" s="229">
        <f t="shared" si="2"/>
        <v>1</v>
      </c>
    </row>
    <row r="142" spans="1:24">
      <c r="A142" s="233">
        <v>140</v>
      </c>
      <c r="B142" s="234" t="s">
        <v>256</v>
      </c>
      <c r="C142" s="234" t="s">
        <v>261</v>
      </c>
      <c r="D142" s="235" t="s">
        <v>1192</v>
      </c>
      <c r="E142" s="236"/>
      <c r="F142" s="236"/>
      <c r="G142" s="236"/>
      <c r="H142" s="236"/>
      <c r="I142" s="236"/>
      <c r="J142" s="236"/>
      <c r="K142" s="235"/>
      <c r="L142" s="235"/>
      <c r="M142" s="235"/>
      <c r="N142" s="236"/>
      <c r="O142" s="236"/>
      <c r="P142" s="236"/>
      <c r="Q142" s="236"/>
      <c r="R142" s="236"/>
      <c r="S142" s="235"/>
      <c r="T142" s="235"/>
      <c r="U142" s="235"/>
      <c r="V142" s="236" t="s">
        <v>1194</v>
      </c>
      <c r="W142" s="236"/>
      <c r="X142" s="229">
        <f t="shared" si="2"/>
        <v>1</v>
      </c>
    </row>
    <row r="143" spans="1:24">
      <c r="A143" s="233">
        <v>141</v>
      </c>
      <c r="B143" s="234" t="s">
        <v>256</v>
      </c>
      <c r="C143" s="234" t="s">
        <v>255</v>
      </c>
      <c r="D143" s="235" t="s">
        <v>1192</v>
      </c>
      <c r="E143" s="236"/>
      <c r="F143" s="236"/>
      <c r="G143" s="236"/>
      <c r="H143" s="236"/>
      <c r="I143" s="236"/>
      <c r="J143" s="236"/>
      <c r="K143" s="235"/>
      <c r="L143" s="235"/>
      <c r="M143" s="235"/>
      <c r="N143" s="236"/>
      <c r="O143" s="236"/>
      <c r="P143" s="236"/>
      <c r="Q143" s="236"/>
      <c r="R143" s="236"/>
      <c r="S143" s="235"/>
      <c r="T143" s="235"/>
      <c r="U143" s="235"/>
      <c r="V143" s="236" t="s">
        <v>1194</v>
      </c>
      <c r="W143" s="236"/>
      <c r="X143" s="229">
        <f t="shared" si="2"/>
        <v>1</v>
      </c>
    </row>
    <row r="144" spans="1:24">
      <c r="A144" s="233">
        <v>142</v>
      </c>
      <c r="B144" s="234" t="s">
        <v>256</v>
      </c>
      <c r="C144" s="234" t="s">
        <v>432</v>
      </c>
      <c r="D144" s="235" t="s">
        <v>1193</v>
      </c>
      <c r="E144" s="236"/>
      <c r="F144" s="236"/>
      <c r="G144" s="236"/>
      <c r="H144" s="236"/>
      <c r="I144" s="236"/>
      <c r="J144" s="236"/>
      <c r="K144" s="235"/>
      <c r="L144" s="235"/>
      <c r="M144" s="235"/>
      <c r="N144" s="236"/>
      <c r="O144" s="236"/>
      <c r="P144" s="236"/>
      <c r="Q144" s="236"/>
      <c r="R144" s="236"/>
      <c r="S144" s="235"/>
      <c r="T144" s="235"/>
      <c r="U144" s="235" t="s">
        <v>1194</v>
      </c>
      <c r="V144" s="236"/>
      <c r="W144" s="236"/>
      <c r="X144" s="229">
        <f t="shared" si="2"/>
        <v>1</v>
      </c>
    </row>
    <row r="145" spans="1:24">
      <c r="A145" s="233">
        <v>143</v>
      </c>
      <c r="B145" s="234" t="s">
        <v>256</v>
      </c>
      <c r="C145" s="234" t="s">
        <v>268</v>
      </c>
      <c r="D145" s="235" t="s">
        <v>1192</v>
      </c>
      <c r="E145" s="236"/>
      <c r="F145" s="236"/>
      <c r="G145" s="236"/>
      <c r="H145" s="236"/>
      <c r="I145" s="236"/>
      <c r="J145" s="236"/>
      <c r="K145" s="235"/>
      <c r="L145" s="235"/>
      <c r="M145" s="235"/>
      <c r="N145" s="236"/>
      <c r="O145" s="236"/>
      <c r="P145" s="236"/>
      <c r="Q145" s="236"/>
      <c r="R145" s="236"/>
      <c r="S145" s="235"/>
      <c r="T145" s="235"/>
      <c r="U145" s="235"/>
      <c r="V145" s="236" t="s">
        <v>1194</v>
      </c>
      <c r="W145" s="236"/>
      <c r="X145" s="229">
        <f t="shared" si="2"/>
        <v>1</v>
      </c>
    </row>
    <row r="146" spans="1:24">
      <c r="A146" s="233">
        <v>144</v>
      </c>
      <c r="B146" s="234" t="s">
        <v>256</v>
      </c>
      <c r="C146" s="234" t="s">
        <v>435</v>
      </c>
      <c r="D146" s="235" t="s">
        <v>1193</v>
      </c>
      <c r="E146" s="236"/>
      <c r="F146" s="236"/>
      <c r="G146" s="236"/>
      <c r="H146" s="236"/>
      <c r="I146" s="236"/>
      <c r="J146" s="236"/>
      <c r="K146" s="235"/>
      <c r="L146" s="235"/>
      <c r="M146" s="235"/>
      <c r="N146" s="236"/>
      <c r="O146" s="236"/>
      <c r="P146" s="236"/>
      <c r="Q146" s="236"/>
      <c r="R146" s="236"/>
      <c r="S146" s="235"/>
      <c r="T146" s="235"/>
      <c r="U146" s="235" t="s">
        <v>1194</v>
      </c>
      <c r="V146" s="236"/>
      <c r="W146" s="236"/>
      <c r="X146" s="229">
        <f t="shared" si="2"/>
        <v>1</v>
      </c>
    </row>
    <row r="147" spans="1:24">
      <c r="A147" s="233">
        <v>145</v>
      </c>
      <c r="B147" s="234" t="s">
        <v>781</v>
      </c>
      <c r="C147" s="234" t="s">
        <v>784</v>
      </c>
      <c r="D147" s="235" t="s">
        <v>1193</v>
      </c>
      <c r="E147" s="236"/>
      <c r="F147" s="236"/>
      <c r="G147" s="236"/>
      <c r="H147" s="236"/>
      <c r="I147" s="236"/>
      <c r="J147" s="236"/>
      <c r="K147" s="235"/>
      <c r="L147" s="235"/>
      <c r="M147" s="235"/>
      <c r="N147" s="236"/>
      <c r="O147" s="236" t="s">
        <v>1194</v>
      </c>
      <c r="P147" s="236"/>
      <c r="Q147" s="236"/>
      <c r="R147" s="236"/>
      <c r="S147" s="235"/>
      <c r="T147" s="235"/>
      <c r="U147" s="235"/>
      <c r="V147" s="236"/>
      <c r="W147" s="236"/>
      <c r="X147" s="229">
        <f t="shared" si="2"/>
        <v>1</v>
      </c>
    </row>
    <row r="148" spans="1:24">
      <c r="A148" s="233">
        <v>146</v>
      </c>
      <c r="B148" s="234" t="s">
        <v>781</v>
      </c>
      <c r="C148" s="234" t="s">
        <v>780</v>
      </c>
      <c r="D148" s="235" t="s">
        <v>1193</v>
      </c>
      <c r="E148" s="236"/>
      <c r="F148" s="236"/>
      <c r="G148" s="236"/>
      <c r="H148" s="236"/>
      <c r="I148" s="236"/>
      <c r="J148" s="236"/>
      <c r="K148" s="235"/>
      <c r="L148" s="235"/>
      <c r="M148" s="235"/>
      <c r="N148" s="236" t="s">
        <v>1194</v>
      </c>
      <c r="O148" s="236" t="s">
        <v>1194</v>
      </c>
      <c r="P148" s="236"/>
      <c r="Q148" s="236"/>
      <c r="R148" s="236"/>
      <c r="S148" s="235"/>
      <c r="T148" s="235"/>
      <c r="U148" s="235"/>
      <c r="V148" s="236"/>
      <c r="W148" s="236"/>
      <c r="X148" s="229">
        <f t="shared" si="2"/>
        <v>2</v>
      </c>
    </row>
    <row r="149" spans="1:24">
      <c r="A149" s="233">
        <v>147</v>
      </c>
      <c r="B149" s="234" t="s">
        <v>253</v>
      </c>
      <c r="C149" s="234" t="s">
        <v>430</v>
      </c>
      <c r="D149" s="235" t="s">
        <v>1193</v>
      </c>
      <c r="E149" s="236"/>
      <c r="F149" s="236"/>
      <c r="G149" s="236"/>
      <c r="H149" s="236"/>
      <c r="I149" s="236"/>
      <c r="J149" s="236"/>
      <c r="K149" s="235"/>
      <c r="L149" s="235"/>
      <c r="M149" s="235"/>
      <c r="N149" s="236"/>
      <c r="O149" s="236"/>
      <c r="P149" s="236"/>
      <c r="Q149" s="236"/>
      <c r="R149" s="236"/>
      <c r="S149" s="235"/>
      <c r="T149" s="235"/>
      <c r="U149" s="235" t="s">
        <v>1194</v>
      </c>
      <c r="V149" s="236"/>
      <c r="W149" s="236"/>
      <c r="X149" s="229">
        <f t="shared" si="2"/>
        <v>1</v>
      </c>
    </row>
    <row r="150" spans="1:24">
      <c r="A150" s="233">
        <v>148</v>
      </c>
      <c r="B150" s="234" t="s">
        <v>253</v>
      </c>
      <c r="C150" s="234" t="s">
        <v>431</v>
      </c>
      <c r="D150" s="235"/>
      <c r="E150" s="236"/>
      <c r="F150" s="236"/>
      <c r="G150" s="236"/>
      <c r="H150" s="236"/>
      <c r="I150" s="236"/>
      <c r="J150" s="236"/>
      <c r="K150" s="235"/>
      <c r="L150" s="235"/>
      <c r="M150" s="235"/>
      <c r="N150" s="236"/>
      <c r="O150" s="236"/>
      <c r="P150" s="236"/>
      <c r="Q150" s="236"/>
      <c r="R150" s="236"/>
      <c r="S150" s="235"/>
      <c r="T150" s="235"/>
      <c r="U150" s="235" t="s">
        <v>1194</v>
      </c>
      <c r="V150" s="236"/>
      <c r="W150" s="236"/>
      <c r="X150" s="229">
        <f t="shared" si="2"/>
        <v>1</v>
      </c>
    </row>
    <row r="151" spans="1:24">
      <c r="A151" s="233">
        <v>149</v>
      </c>
      <c r="B151" s="234" t="s">
        <v>253</v>
      </c>
      <c r="C151" s="234" t="s">
        <v>252</v>
      </c>
      <c r="D151" s="235" t="s">
        <v>1192</v>
      </c>
      <c r="E151" s="236"/>
      <c r="F151" s="236"/>
      <c r="G151" s="236"/>
      <c r="H151" s="236"/>
      <c r="I151" s="236"/>
      <c r="J151" s="236"/>
      <c r="K151" s="235"/>
      <c r="L151" s="235"/>
      <c r="M151" s="235"/>
      <c r="N151" s="236"/>
      <c r="O151" s="236"/>
      <c r="P151" s="236"/>
      <c r="Q151" s="236"/>
      <c r="R151" s="236"/>
      <c r="S151" s="235"/>
      <c r="T151" s="235"/>
      <c r="U151" s="235"/>
      <c r="V151" s="236" t="s">
        <v>1194</v>
      </c>
      <c r="W151" s="236"/>
      <c r="X151" s="229">
        <f t="shared" si="2"/>
        <v>1</v>
      </c>
    </row>
    <row r="152" spans="1:24">
      <c r="A152" s="233">
        <v>150</v>
      </c>
      <c r="B152" s="234" t="s">
        <v>253</v>
      </c>
      <c r="C152" s="234" t="s">
        <v>428</v>
      </c>
      <c r="D152" s="235" t="s">
        <v>1192</v>
      </c>
      <c r="E152" s="236"/>
      <c r="F152" s="236"/>
      <c r="G152" s="236"/>
      <c r="H152" s="236"/>
      <c r="I152" s="236"/>
      <c r="J152" s="236"/>
      <c r="K152" s="235"/>
      <c r="L152" s="235"/>
      <c r="M152" s="235"/>
      <c r="N152" s="236"/>
      <c r="O152" s="236"/>
      <c r="P152" s="236"/>
      <c r="Q152" s="236"/>
      <c r="R152" s="236"/>
      <c r="S152" s="235"/>
      <c r="T152" s="235"/>
      <c r="U152" s="235" t="s">
        <v>1194</v>
      </c>
      <c r="V152" s="236"/>
      <c r="W152" s="236"/>
      <c r="X152" s="229">
        <f t="shared" si="2"/>
        <v>1</v>
      </c>
    </row>
    <row r="153" spans="1:24">
      <c r="A153" s="233">
        <v>151</v>
      </c>
      <c r="B153" s="234" t="s">
        <v>253</v>
      </c>
      <c r="C153" s="234" t="s">
        <v>254</v>
      </c>
      <c r="D153" s="235" t="s">
        <v>1192</v>
      </c>
      <c r="E153" s="236"/>
      <c r="F153" s="236"/>
      <c r="G153" s="236"/>
      <c r="H153" s="236"/>
      <c r="I153" s="236"/>
      <c r="J153" s="236"/>
      <c r="K153" s="235"/>
      <c r="L153" s="235"/>
      <c r="M153" s="235"/>
      <c r="N153" s="236"/>
      <c r="O153" s="236"/>
      <c r="P153" s="236"/>
      <c r="Q153" s="236"/>
      <c r="R153" s="236"/>
      <c r="S153" s="235"/>
      <c r="T153" s="235"/>
      <c r="U153" s="235"/>
      <c r="V153" s="236" t="s">
        <v>1194</v>
      </c>
      <c r="W153" s="236"/>
      <c r="X153" s="229">
        <f t="shared" si="2"/>
        <v>1</v>
      </c>
    </row>
    <row r="154" spans="1:24">
      <c r="A154" s="233">
        <v>152</v>
      </c>
      <c r="B154" s="234" t="s">
        <v>674</v>
      </c>
      <c r="C154" s="234" t="s">
        <v>485</v>
      </c>
      <c r="D154" s="235" t="s">
        <v>1192</v>
      </c>
      <c r="E154" s="236"/>
      <c r="F154" s="236"/>
      <c r="G154" s="236"/>
      <c r="H154" s="236"/>
      <c r="I154" s="236"/>
      <c r="J154" s="236"/>
      <c r="K154" s="235"/>
      <c r="L154" s="235"/>
      <c r="M154" s="235"/>
      <c r="N154" s="236"/>
      <c r="O154" s="236"/>
      <c r="P154" s="236"/>
      <c r="Q154" s="236"/>
      <c r="R154" s="236"/>
      <c r="S154" s="235"/>
      <c r="T154" s="235" t="s">
        <v>1194</v>
      </c>
      <c r="U154" s="235"/>
      <c r="V154" s="236"/>
      <c r="W154" s="236"/>
      <c r="X154" s="229">
        <f t="shared" si="2"/>
        <v>1</v>
      </c>
    </row>
    <row r="155" spans="1:24">
      <c r="A155" s="233">
        <v>153</v>
      </c>
      <c r="B155" s="234" t="s">
        <v>674</v>
      </c>
      <c r="C155" s="234" t="s">
        <v>673</v>
      </c>
      <c r="D155" s="235" t="s">
        <v>1193</v>
      </c>
      <c r="E155" s="236" t="s">
        <v>1194</v>
      </c>
      <c r="F155" s="236"/>
      <c r="G155" s="236"/>
      <c r="H155" s="236"/>
      <c r="I155" s="236"/>
      <c r="J155" s="236"/>
      <c r="K155" s="235"/>
      <c r="L155" s="235"/>
      <c r="M155" s="235"/>
      <c r="N155" s="236"/>
      <c r="O155" s="236"/>
      <c r="P155" s="236"/>
      <c r="Q155" s="236"/>
      <c r="R155" s="236"/>
      <c r="S155" s="235"/>
      <c r="T155" s="235"/>
      <c r="U155" s="235"/>
      <c r="V155" s="236"/>
      <c r="W155" s="236"/>
      <c r="X155" s="229">
        <f t="shared" si="2"/>
        <v>1</v>
      </c>
    </row>
    <row r="156" spans="1:24">
      <c r="A156" s="233">
        <v>154</v>
      </c>
      <c r="B156" s="234" t="s">
        <v>351</v>
      </c>
      <c r="C156" s="234" t="s">
        <v>354</v>
      </c>
      <c r="D156" s="235" t="s">
        <v>1192</v>
      </c>
      <c r="E156" s="236"/>
      <c r="F156" s="236"/>
      <c r="G156" s="236"/>
      <c r="H156" s="236"/>
      <c r="I156" s="236"/>
      <c r="J156" s="236"/>
      <c r="K156" s="235"/>
      <c r="L156" s="235"/>
      <c r="M156" s="235"/>
      <c r="N156" s="236"/>
      <c r="O156" s="236"/>
      <c r="P156" s="236"/>
      <c r="Q156" s="236"/>
      <c r="R156" s="236"/>
      <c r="S156" s="235"/>
      <c r="T156" s="235"/>
      <c r="U156" s="235"/>
      <c r="V156" s="236" t="s">
        <v>1194</v>
      </c>
      <c r="W156" s="236"/>
      <c r="X156" s="229">
        <f t="shared" si="2"/>
        <v>1</v>
      </c>
    </row>
    <row r="157" spans="1:24">
      <c r="A157" s="233">
        <v>155</v>
      </c>
      <c r="B157" s="234" t="s">
        <v>351</v>
      </c>
      <c r="C157" s="234" t="s">
        <v>594</v>
      </c>
      <c r="D157" s="235" t="s">
        <v>1192</v>
      </c>
      <c r="E157" s="236"/>
      <c r="F157" s="236"/>
      <c r="G157" s="236"/>
      <c r="H157" s="236" t="s">
        <v>1194</v>
      </c>
      <c r="I157" s="236"/>
      <c r="J157" s="236"/>
      <c r="K157" s="235"/>
      <c r="L157" s="235"/>
      <c r="M157" s="235"/>
      <c r="N157" s="236"/>
      <c r="O157" s="236"/>
      <c r="P157" s="236"/>
      <c r="Q157" s="236"/>
      <c r="R157" s="236"/>
      <c r="S157" s="235"/>
      <c r="T157" s="235"/>
      <c r="U157" s="235"/>
      <c r="V157" s="236"/>
      <c r="W157" s="236"/>
      <c r="X157" s="229">
        <f t="shared" si="2"/>
        <v>1</v>
      </c>
    </row>
    <row r="158" spans="1:24">
      <c r="A158" s="233">
        <v>156</v>
      </c>
      <c r="B158" s="234" t="s">
        <v>351</v>
      </c>
      <c r="C158" s="234" t="s">
        <v>714</v>
      </c>
      <c r="D158" s="235" t="s">
        <v>1192</v>
      </c>
      <c r="E158" s="236"/>
      <c r="F158" s="236"/>
      <c r="G158" s="236"/>
      <c r="H158" s="236"/>
      <c r="I158" s="236"/>
      <c r="J158" s="236"/>
      <c r="K158" s="235"/>
      <c r="L158" s="235"/>
      <c r="M158" s="235"/>
      <c r="N158" s="236"/>
      <c r="O158" s="236"/>
      <c r="P158" s="236"/>
      <c r="Q158" s="236" t="s">
        <v>1194</v>
      </c>
      <c r="R158" s="236" t="s">
        <v>1194</v>
      </c>
      <c r="S158" s="235"/>
      <c r="T158" s="235"/>
      <c r="U158" s="235"/>
      <c r="V158" s="236"/>
      <c r="W158" s="236"/>
      <c r="X158" s="229">
        <f t="shared" si="2"/>
        <v>2</v>
      </c>
    </row>
    <row r="159" spans="1:24">
      <c r="A159" s="233">
        <v>157</v>
      </c>
      <c r="B159" s="234" t="s">
        <v>351</v>
      </c>
      <c r="C159" s="234" t="s">
        <v>716</v>
      </c>
      <c r="D159" s="235" t="s">
        <v>1192</v>
      </c>
      <c r="E159" s="236"/>
      <c r="F159" s="236"/>
      <c r="G159" s="236"/>
      <c r="H159" s="236"/>
      <c r="I159" s="236"/>
      <c r="J159" s="236"/>
      <c r="K159" s="235"/>
      <c r="L159" s="235"/>
      <c r="M159" s="235"/>
      <c r="N159" s="236"/>
      <c r="O159" s="236"/>
      <c r="P159" s="236"/>
      <c r="Q159" s="236" t="s">
        <v>1194</v>
      </c>
      <c r="R159" s="236" t="s">
        <v>1194</v>
      </c>
      <c r="S159" s="235"/>
      <c r="T159" s="235"/>
      <c r="U159" s="235"/>
      <c r="V159" s="236"/>
      <c r="W159" s="236"/>
      <c r="X159" s="229">
        <f t="shared" si="2"/>
        <v>2</v>
      </c>
    </row>
    <row r="160" spans="1:24">
      <c r="A160" s="233">
        <v>158</v>
      </c>
      <c r="B160" s="234" t="s">
        <v>351</v>
      </c>
      <c r="C160" s="234" t="s">
        <v>352</v>
      </c>
      <c r="D160" s="235" t="s">
        <v>1192</v>
      </c>
      <c r="E160" s="236"/>
      <c r="F160" s="236"/>
      <c r="G160" s="236"/>
      <c r="H160" s="236"/>
      <c r="I160" s="236"/>
      <c r="J160" s="236"/>
      <c r="K160" s="235"/>
      <c r="L160" s="235"/>
      <c r="M160" s="235"/>
      <c r="N160" s="236"/>
      <c r="O160" s="236"/>
      <c r="P160" s="236"/>
      <c r="Q160" s="236"/>
      <c r="R160" s="236"/>
      <c r="S160" s="235"/>
      <c r="T160" s="235"/>
      <c r="U160" s="235"/>
      <c r="V160" s="236" t="s">
        <v>1194</v>
      </c>
      <c r="W160" s="236"/>
      <c r="X160" s="229">
        <f t="shared" si="2"/>
        <v>1</v>
      </c>
    </row>
    <row r="161" spans="1:24">
      <c r="A161" s="233">
        <v>159</v>
      </c>
      <c r="B161" s="234" t="s">
        <v>351</v>
      </c>
      <c r="C161" s="234" t="s">
        <v>350</v>
      </c>
      <c r="D161" s="235" t="s">
        <v>1192</v>
      </c>
      <c r="E161" s="236"/>
      <c r="F161" s="236"/>
      <c r="G161" s="236"/>
      <c r="H161" s="236"/>
      <c r="I161" s="236"/>
      <c r="J161" s="236"/>
      <c r="K161" s="235"/>
      <c r="L161" s="235"/>
      <c r="M161" s="235"/>
      <c r="N161" s="236"/>
      <c r="O161" s="236"/>
      <c r="P161" s="236"/>
      <c r="Q161" s="236"/>
      <c r="R161" s="236"/>
      <c r="S161" s="235"/>
      <c r="T161" s="235"/>
      <c r="U161" s="235"/>
      <c r="V161" s="236" t="s">
        <v>1194</v>
      </c>
      <c r="W161" s="236"/>
      <c r="X161" s="229">
        <f t="shared" si="2"/>
        <v>1</v>
      </c>
    </row>
    <row r="162" spans="1:24">
      <c r="A162" s="233">
        <v>160</v>
      </c>
      <c r="B162" s="234" t="s">
        <v>339</v>
      </c>
      <c r="C162" s="234" t="s">
        <v>338</v>
      </c>
      <c r="D162" s="235" t="s">
        <v>1192</v>
      </c>
      <c r="E162" s="236"/>
      <c r="F162" s="236"/>
      <c r="G162" s="236"/>
      <c r="H162" s="236"/>
      <c r="I162" s="236"/>
      <c r="J162" s="236"/>
      <c r="K162" s="235"/>
      <c r="L162" s="235"/>
      <c r="M162" s="235"/>
      <c r="N162" s="236"/>
      <c r="O162" s="236"/>
      <c r="P162" s="236"/>
      <c r="Q162" s="236"/>
      <c r="R162" s="236"/>
      <c r="S162" s="235"/>
      <c r="T162" s="235"/>
      <c r="U162" s="235"/>
      <c r="V162" s="236" t="s">
        <v>1194</v>
      </c>
      <c r="W162" s="236"/>
      <c r="X162" s="229">
        <f t="shared" si="2"/>
        <v>1</v>
      </c>
    </row>
    <row r="163" spans="1:24">
      <c r="A163" s="233">
        <v>161</v>
      </c>
      <c r="B163" s="234" t="s">
        <v>339</v>
      </c>
      <c r="C163" s="234" t="s">
        <v>753</v>
      </c>
      <c r="D163" s="235" t="s">
        <v>1193</v>
      </c>
      <c r="E163" s="236"/>
      <c r="F163" s="236"/>
      <c r="G163" s="236"/>
      <c r="H163" s="236"/>
      <c r="I163" s="236"/>
      <c r="J163" s="236"/>
      <c r="K163" s="235"/>
      <c r="L163" s="235"/>
      <c r="M163" s="235"/>
      <c r="N163" s="236" t="s">
        <v>1194</v>
      </c>
      <c r="O163" s="236"/>
      <c r="P163" s="236" t="s">
        <v>1194</v>
      </c>
      <c r="Q163" s="236"/>
      <c r="R163" s="236"/>
      <c r="S163" s="235"/>
      <c r="T163" s="235"/>
      <c r="U163" s="235"/>
      <c r="V163" s="236"/>
      <c r="W163" s="236"/>
      <c r="X163" s="229">
        <f t="shared" si="2"/>
        <v>2</v>
      </c>
    </row>
    <row r="164" spans="1:24">
      <c r="A164" s="233">
        <v>162</v>
      </c>
      <c r="B164" s="234" t="s">
        <v>339</v>
      </c>
      <c r="C164" s="234" t="s">
        <v>348</v>
      </c>
      <c r="D164" s="235" t="s">
        <v>1192</v>
      </c>
      <c r="E164" s="236"/>
      <c r="F164" s="236"/>
      <c r="G164" s="236"/>
      <c r="H164" s="236"/>
      <c r="I164" s="236"/>
      <c r="J164" s="236"/>
      <c r="K164" s="235"/>
      <c r="L164" s="235"/>
      <c r="M164" s="235"/>
      <c r="N164" s="236"/>
      <c r="O164" s="236"/>
      <c r="P164" s="236"/>
      <c r="Q164" s="236"/>
      <c r="R164" s="236"/>
      <c r="S164" s="235"/>
      <c r="T164" s="235"/>
      <c r="U164" s="235"/>
      <c r="V164" s="236" t="s">
        <v>1194</v>
      </c>
      <c r="W164" s="236"/>
      <c r="X164" s="229">
        <f t="shared" si="2"/>
        <v>1</v>
      </c>
    </row>
    <row r="165" spans="1:24">
      <c r="A165" s="233">
        <v>163</v>
      </c>
      <c r="B165" s="234" t="s">
        <v>339</v>
      </c>
      <c r="C165" s="234" t="s">
        <v>752</v>
      </c>
      <c r="D165" s="235" t="s">
        <v>1192</v>
      </c>
      <c r="E165" s="236"/>
      <c r="F165" s="236"/>
      <c r="G165" s="236"/>
      <c r="H165" s="236"/>
      <c r="I165" s="236"/>
      <c r="J165" s="236"/>
      <c r="K165" s="235"/>
      <c r="L165" s="235"/>
      <c r="M165" s="235"/>
      <c r="N165" s="236"/>
      <c r="O165" s="236"/>
      <c r="P165" s="236" t="s">
        <v>1194</v>
      </c>
      <c r="Q165" s="236"/>
      <c r="R165" s="236"/>
      <c r="S165" s="235"/>
      <c r="T165" s="235"/>
      <c r="U165" s="235"/>
      <c r="V165" s="236"/>
      <c r="W165" s="236"/>
      <c r="X165" s="229">
        <f t="shared" si="2"/>
        <v>1</v>
      </c>
    </row>
    <row r="166" spans="1:24">
      <c r="A166" s="233">
        <v>164</v>
      </c>
      <c r="B166" s="234" t="s">
        <v>339</v>
      </c>
      <c r="C166" s="234" t="s">
        <v>345</v>
      </c>
      <c r="D166" s="235" t="s">
        <v>1192</v>
      </c>
      <c r="E166" s="236"/>
      <c r="F166" s="236"/>
      <c r="G166" s="236"/>
      <c r="H166" s="236"/>
      <c r="I166" s="236"/>
      <c r="J166" s="236"/>
      <c r="K166" s="235"/>
      <c r="L166" s="235"/>
      <c r="M166" s="235"/>
      <c r="N166" s="236"/>
      <c r="O166" s="236"/>
      <c r="P166" s="236"/>
      <c r="Q166" s="236"/>
      <c r="R166" s="236"/>
      <c r="S166" s="235"/>
      <c r="T166" s="235" t="s">
        <v>1194</v>
      </c>
      <c r="U166" s="235"/>
      <c r="V166" s="236" t="s">
        <v>1194</v>
      </c>
      <c r="W166" s="236"/>
      <c r="X166" s="229">
        <f t="shared" si="2"/>
        <v>2</v>
      </c>
    </row>
    <row r="167" spans="1:24">
      <c r="A167" s="233">
        <v>165</v>
      </c>
      <c r="B167" s="234" t="s">
        <v>339</v>
      </c>
      <c r="C167" s="234" t="s">
        <v>341</v>
      </c>
      <c r="D167" s="235" t="s">
        <v>1192</v>
      </c>
      <c r="E167" s="236"/>
      <c r="F167" s="236"/>
      <c r="G167" s="236"/>
      <c r="H167" s="236"/>
      <c r="I167" s="236" t="s">
        <v>1194</v>
      </c>
      <c r="J167" s="236" t="s">
        <v>1194</v>
      </c>
      <c r="K167" s="235"/>
      <c r="L167" s="235"/>
      <c r="M167" s="235"/>
      <c r="N167" s="236"/>
      <c r="O167" s="236"/>
      <c r="P167" s="236"/>
      <c r="Q167" s="236"/>
      <c r="R167" s="236"/>
      <c r="S167" s="235"/>
      <c r="T167" s="235"/>
      <c r="U167" s="235"/>
      <c r="V167" s="236" t="s">
        <v>1194</v>
      </c>
      <c r="W167" s="236"/>
      <c r="X167" s="229">
        <f t="shared" si="2"/>
        <v>3</v>
      </c>
    </row>
    <row r="168" spans="1:24">
      <c r="A168" s="233">
        <v>166</v>
      </c>
      <c r="B168" s="234" t="s">
        <v>489</v>
      </c>
      <c r="C168" s="234" t="s">
        <v>488</v>
      </c>
      <c r="D168" s="235" t="s">
        <v>1192</v>
      </c>
      <c r="E168" s="236"/>
      <c r="F168" s="236"/>
      <c r="G168" s="236"/>
      <c r="H168" s="236"/>
      <c r="I168" s="236"/>
      <c r="J168" s="236"/>
      <c r="K168" s="235"/>
      <c r="L168" s="235"/>
      <c r="M168" s="235"/>
      <c r="N168" s="236"/>
      <c r="O168" s="236"/>
      <c r="P168" s="236"/>
      <c r="Q168" s="236"/>
      <c r="R168" s="236"/>
      <c r="S168" s="235"/>
      <c r="T168" s="235" t="s">
        <v>1194</v>
      </c>
      <c r="U168" s="235"/>
      <c r="V168" s="236"/>
      <c r="W168" s="236"/>
      <c r="X168" s="229">
        <f t="shared" si="2"/>
        <v>1</v>
      </c>
    </row>
    <row r="169" spans="1:24">
      <c r="A169" s="233">
        <v>167</v>
      </c>
      <c r="B169" s="234" t="s">
        <v>489</v>
      </c>
      <c r="C169" s="234" t="s">
        <v>555</v>
      </c>
      <c r="D169" s="235" t="s">
        <v>1192</v>
      </c>
      <c r="E169" s="236"/>
      <c r="F169" s="236"/>
      <c r="G169" s="236" t="s">
        <v>1194</v>
      </c>
      <c r="H169" s="236"/>
      <c r="I169" s="236"/>
      <c r="J169" s="236"/>
      <c r="K169" s="235"/>
      <c r="L169" s="235"/>
      <c r="M169" s="235"/>
      <c r="N169" s="236"/>
      <c r="O169" s="236"/>
      <c r="P169" s="236"/>
      <c r="Q169" s="236"/>
      <c r="R169" s="236"/>
      <c r="S169" s="235"/>
      <c r="T169" s="235"/>
      <c r="U169" s="235"/>
      <c r="V169" s="236"/>
      <c r="W169" s="236"/>
      <c r="X169" s="229">
        <f t="shared" si="2"/>
        <v>1</v>
      </c>
    </row>
    <row r="170" spans="1:24">
      <c r="A170" s="233">
        <v>168</v>
      </c>
      <c r="B170" s="234" t="s">
        <v>489</v>
      </c>
      <c r="C170" s="234" t="s">
        <v>756</v>
      </c>
      <c r="D170" s="235" t="s">
        <v>1192</v>
      </c>
      <c r="E170" s="236"/>
      <c r="F170" s="236"/>
      <c r="G170" s="236"/>
      <c r="H170" s="236"/>
      <c r="I170" s="236"/>
      <c r="J170" s="236"/>
      <c r="K170" s="235"/>
      <c r="L170" s="235"/>
      <c r="M170" s="235"/>
      <c r="N170" s="236"/>
      <c r="O170" s="236"/>
      <c r="P170" s="236" t="s">
        <v>1194</v>
      </c>
      <c r="Q170" s="236" t="s">
        <v>1194</v>
      </c>
      <c r="R170" s="236"/>
      <c r="S170" s="235"/>
      <c r="T170" s="235"/>
      <c r="U170" s="235"/>
      <c r="V170" s="236"/>
      <c r="W170" s="236"/>
      <c r="X170" s="229">
        <f t="shared" si="2"/>
        <v>2</v>
      </c>
    </row>
    <row r="171" spans="1:24">
      <c r="A171" s="233">
        <v>169</v>
      </c>
      <c r="B171" s="234" t="s">
        <v>489</v>
      </c>
      <c r="C171" s="234" t="s">
        <v>757</v>
      </c>
      <c r="D171" s="235" t="s">
        <v>1193</v>
      </c>
      <c r="E171" s="236"/>
      <c r="F171" s="236"/>
      <c r="G171" s="236"/>
      <c r="H171" s="236"/>
      <c r="I171" s="236"/>
      <c r="J171" s="236"/>
      <c r="K171" s="235"/>
      <c r="L171" s="235"/>
      <c r="M171" s="235"/>
      <c r="N171" s="236"/>
      <c r="O171" s="236"/>
      <c r="P171" s="236" t="s">
        <v>1194</v>
      </c>
      <c r="Q171" s="236"/>
      <c r="R171" s="236"/>
      <c r="S171" s="235"/>
      <c r="T171" s="235"/>
      <c r="U171" s="235"/>
      <c r="V171" s="236"/>
      <c r="W171" s="236"/>
      <c r="X171" s="229">
        <f t="shared" si="2"/>
        <v>1</v>
      </c>
    </row>
    <row r="172" spans="1:24">
      <c r="A172" s="233">
        <v>170</v>
      </c>
      <c r="B172" s="234" t="s">
        <v>562</v>
      </c>
      <c r="C172" s="234" t="s">
        <v>796</v>
      </c>
      <c r="D172" s="235" t="s">
        <v>1193</v>
      </c>
      <c r="E172" s="236"/>
      <c r="F172" s="236"/>
      <c r="G172" s="236"/>
      <c r="H172" s="236"/>
      <c r="I172" s="236"/>
      <c r="J172" s="236"/>
      <c r="K172" s="235" t="s">
        <v>1194</v>
      </c>
      <c r="L172" s="235"/>
      <c r="M172" s="235"/>
      <c r="N172" s="236"/>
      <c r="O172" s="236"/>
      <c r="P172" s="236"/>
      <c r="Q172" s="236"/>
      <c r="R172" s="236"/>
      <c r="S172" s="235"/>
      <c r="T172" s="235"/>
      <c r="U172" s="235"/>
      <c r="V172" s="236"/>
      <c r="W172" s="236"/>
      <c r="X172" s="229">
        <f t="shared" si="2"/>
        <v>1</v>
      </c>
    </row>
    <row r="173" spans="1:24">
      <c r="A173" s="233">
        <v>171</v>
      </c>
      <c r="B173" s="234" t="s">
        <v>562</v>
      </c>
      <c r="C173" s="234" t="s">
        <v>532</v>
      </c>
      <c r="D173" s="235" t="s">
        <v>1192</v>
      </c>
      <c r="E173" s="236"/>
      <c r="F173" s="236"/>
      <c r="G173" s="236" t="s">
        <v>1194</v>
      </c>
      <c r="H173" s="236" t="s">
        <v>1194</v>
      </c>
      <c r="I173" s="236"/>
      <c r="J173" s="236"/>
      <c r="K173" s="235"/>
      <c r="L173" s="235"/>
      <c r="M173" s="235"/>
      <c r="N173" s="236"/>
      <c r="O173" s="236"/>
      <c r="P173" s="236"/>
      <c r="Q173" s="236"/>
      <c r="R173" s="236"/>
      <c r="S173" s="235"/>
      <c r="T173" s="235"/>
      <c r="U173" s="235"/>
      <c r="V173" s="236"/>
      <c r="W173" s="236"/>
      <c r="X173" s="229">
        <f t="shared" si="2"/>
        <v>2</v>
      </c>
    </row>
    <row r="174" spans="1:24">
      <c r="A174" s="233">
        <v>172</v>
      </c>
      <c r="B174" s="234" t="s">
        <v>562</v>
      </c>
      <c r="C174" s="234" t="s">
        <v>625</v>
      </c>
      <c r="D174" s="235" t="s">
        <v>1192</v>
      </c>
      <c r="E174" s="236"/>
      <c r="F174" s="236"/>
      <c r="G174" s="236"/>
      <c r="H174" s="236"/>
      <c r="I174" s="236" t="s">
        <v>1194</v>
      </c>
      <c r="J174" s="236" t="s">
        <v>1194</v>
      </c>
      <c r="K174" s="235"/>
      <c r="L174" s="235"/>
      <c r="M174" s="235"/>
      <c r="N174" s="236"/>
      <c r="O174" s="236"/>
      <c r="P174" s="236"/>
      <c r="Q174" s="236"/>
      <c r="R174" s="236"/>
      <c r="S174" s="235"/>
      <c r="T174" s="235"/>
      <c r="U174" s="235"/>
      <c r="V174" s="236"/>
      <c r="W174" s="236"/>
      <c r="X174" s="229">
        <f t="shared" si="2"/>
        <v>2</v>
      </c>
    </row>
    <row r="175" spans="1:24">
      <c r="A175" s="233">
        <v>173</v>
      </c>
      <c r="B175" s="234" t="s">
        <v>562</v>
      </c>
      <c r="C175" s="234" t="s">
        <v>798</v>
      </c>
      <c r="D175" s="235" t="s">
        <v>1193</v>
      </c>
      <c r="E175" s="236"/>
      <c r="F175" s="236"/>
      <c r="G175" s="236"/>
      <c r="H175" s="236"/>
      <c r="I175" s="236"/>
      <c r="J175" s="236"/>
      <c r="K175" s="235" t="s">
        <v>1194</v>
      </c>
      <c r="L175" s="235"/>
      <c r="M175" s="235"/>
      <c r="N175" s="236"/>
      <c r="O175" s="236"/>
      <c r="P175" s="236"/>
      <c r="Q175" s="236"/>
      <c r="R175" s="236"/>
      <c r="S175" s="235"/>
      <c r="T175" s="235"/>
      <c r="U175" s="235"/>
      <c r="V175" s="236"/>
      <c r="W175" s="236"/>
      <c r="X175" s="229">
        <f t="shared" si="2"/>
        <v>1</v>
      </c>
    </row>
    <row r="176" spans="1:24">
      <c r="A176" s="233">
        <v>174</v>
      </c>
      <c r="B176" s="234" t="s">
        <v>387</v>
      </c>
      <c r="C176" s="234" t="s">
        <v>398</v>
      </c>
      <c r="D176" s="235" t="s">
        <v>1192</v>
      </c>
      <c r="E176" s="236"/>
      <c r="F176" s="236"/>
      <c r="G176" s="236"/>
      <c r="H176" s="236"/>
      <c r="I176" s="236"/>
      <c r="J176" s="236"/>
      <c r="K176" s="235"/>
      <c r="L176" s="235"/>
      <c r="M176" s="235"/>
      <c r="N176" s="236"/>
      <c r="O176" s="236"/>
      <c r="P176" s="236"/>
      <c r="Q176" s="236"/>
      <c r="R176" s="236"/>
      <c r="S176" s="235"/>
      <c r="T176" s="235"/>
      <c r="U176" s="235" t="s">
        <v>1194</v>
      </c>
      <c r="V176" s="236"/>
      <c r="W176" s="236"/>
      <c r="X176" s="229">
        <f t="shared" si="2"/>
        <v>1</v>
      </c>
    </row>
    <row r="177" spans="1:24">
      <c r="A177" s="233">
        <v>175</v>
      </c>
      <c r="B177" s="234" t="s">
        <v>387</v>
      </c>
      <c r="C177" s="234" t="s">
        <v>396</v>
      </c>
      <c r="D177" s="235" t="s">
        <v>1193</v>
      </c>
      <c r="E177" s="236"/>
      <c r="F177" s="236"/>
      <c r="G177" s="236"/>
      <c r="H177" s="236"/>
      <c r="I177" s="236"/>
      <c r="J177" s="236"/>
      <c r="K177" s="235"/>
      <c r="L177" s="235"/>
      <c r="M177" s="235"/>
      <c r="N177" s="236"/>
      <c r="O177" s="236"/>
      <c r="P177" s="236"/>
      <c r="Q177" s="236"/>
      <c r="R177" s="236"/>
      <c r="S177" s="235"/>
      <c r="T177" s="235"/>
      <c r="U177" s="235" t="s">
        <v>1194</v>
      </c>
      <c r="V177" s="236"/>
      <c r="W177" s="236"/>
      <c r="X177" s="229">
        <f t="shared" si="2"/>
        <v>1</v>
      </c>
    </row>
    <row r="178" spans="1:24">
      <c r="A178" s="233">
        <v>176</v>
      </c>
      <c r="B178" s="234" t="s">
        <v>387</v>
      </c>
      <c r="C178" s="234" t="s">
        <v>397</v>
      </c>
      <c r="D178" s="235" t="s">
        <v>1193</v>
      </c>
      <c r="E178" s="236"/>
      <c r="F178" s="236"/>
      <c r="G178" s="236"/>
      <c r="H178" s="236"/>
      <c r="I178" s="236"/>
      <c r="J178" s="236"/>
      <c r="K178" s="235"/>
      <c r="L178" s="235"/>
      <c r="M178" s="235"/>
      <c r="N178" s="236"/>
      <c r="O178" s="236"/>
      <c r="P178" s="236"/>
      <c r="Q178" s="236"/>
      <c r="R178" s="236"/>
      <c r="S178" s="235"/>
      <c r="T178" s="235"/>
      <c r="U178" s="235" t="s">
        <v>1194</v>
      </c>
      <c r="V178" s="236"/>
      <c r="W178" s="236"/>
      <c r="X178" s="229">
        <f t="shared" si="2"/>
        <v>1</v>
      </c>
    </row>
    <row r="179" spans="1:24">
      <c r="A179" s="233">
        <v>177</v>
      </c>
      <c r="B179" s="234" t="s">
        <v>387</v>
      </c>
      <c r="C179" s="234" t="s">
        <v>399</v>
      </c>
      <c r="D179" s="235" t="s">
        <v>1192</v>
      </c>
      <c r="E179" s="236"/>
      <c r="F179" s="236"/>
      <c r="G179" s="236"/>
      <c r="H179" s="236"/>
      <c r="I179" s="236"/>
      <c r="J179" s="236"/>
      <c r="K179" s="235"/>
      <c r="L179" s="235"/>
      <c r="M179" s="235"/>
      <c r="N179" s="236"/>
      <c r="O179" s="236"/>
      <c r="P179" s="236"/>
      <c r="Q179" s="236"/>
      <c r="R179" s="236"/>
      <c r="S179" s="235"/>
      <c r="T179" s="235"/>
      <c r="U179" s="235" t="s">
        <v>1194</v>
      </c>
      <c r="V179" s="236"/>
      <c r="W179" s="236"/>
      <c r="X179" s="229">
        <f t="shared" si="2"/>
        <v>1</v>
      </c>
    </row>
    <row r="180" spans="1:24">
      <c r="A180" s="233">
        <v>178</v>
      </c>
      <c r="B180" s="234" t="s">
        <v>387</v>
      </c>
      <c r="C180" s="234" t="s">
        <v>386</v>
      </c>
      <c r="D180" s="235" t="s">
        <v>1192</v>
      </c>
      <c r="E180" s="236"/>
      <c r="F180" s="236"/>
      <c r="G180" s="236"/>
      <c r="H180" s="236"/>
      <c r="I180" s="236"/>
      <c r="J180" s="236"/>
      <c r="K180" s="235"/>
      <c r="L180" s="235"/>
      <c r="M180" s="235"/>
      <c r="N180" s="236"/>
      <c r="O180" s="236"/>
      <c r="P180" s="236"/>
      <c r="Q180" s="236"/>
      <c r="R180" s="236"/>
      <c r="S180" s="235"/>
      <c r="T180" s="235"/>
      <c r="U180" s="235" t="s">
        <v>1194</v>
      </c>
      <c r="V180" s="236"/>
      <c r="W180" s="236"/>
      <c r="X180" s="229">
        <f t="shared" si="2"/>
        <v>1</v>
      </c>
    </row>
    <row r="181" spans="1:24">
      <c r="A181" s="233">
        <v>179</v>
      </c>
      <c r="B181" s="234" t="s">
        <v>387</v>
      </c>
      <c r="C181" s="234" t="s">
        <v>400</v>
      </c>
      <c r="D181" s="235" t="s">
        <v>1193</v>
      </c>
      <c r="E181" s="236"/>
      <c r="F181" s="236"/>
      <c r="G181" s="236"/>
      <c r="H181" s="236"/>
      <c r="I181" s="236"/>
      <c r="J181" s="236"/>
      <c r="K181" s="235"/>
      <c r="L181" s="235"/>
      <c r="M181" s="235"/>
      <c r="N181" s="236"/>
      <c r="O181" s="236"/>
      <c r="P181" s="236"/>
      <c r="Q181" s="236"/>
      <c r="R181" s="236"/>
      <c r="S181" s="235"/>
      <c r="T181" s="235"/>
      <c r="U181" s="235" t="s">
        <v>1194</v>
      </c>
      <c r="V181" s="236"/>
      <c r="W181" s="236"/>
      <c r="X181" s="229">
        <f t="shared" si="2"/>
        <v>1</v>
      </c>
    </row>
    <row r="182" spans="1:24">
      <c r="A182" s="233">
        <v>180</v>
      </c>
      <c r="B182" s="234" t="s">
        <v>565</v>
      </c>
      <c r="C182" s="234" t="s">
        <v>800</v>
      </c>
      <c r="D182" s="235" t="s">
        <v>1193</v>
      </c>
      <c r="E182" s="236"/>
      <c r="F182" s="236"/>
      <c r="G182" s="236"/>
      <c r="H182" s="236"/>
      <c r="I182" s="236"/>
      <c r="J182" s="236"/>
      <c r="K182" s="235" t="s">
        <v>1194</v>
      </c>
      <c r="L182" s="235"/>
      <c r="M182" s="235"/>
      <c r="N182" s="236"/>
      <c r="O182" s="236"/>
      <c r="P182" s="236"/>
      <c r="Q182" s="236"/>
      <c r="R182" s="236"/>
      <c r="S182" s="235"/>
      <c r="T182" s="235"/>
      <c r="U182" s="235"/>
      <c r="V182" s="236"/>
      <c r="W182" s="236"/>
      <c r="X182" s="229">
        <f t="shared" si="2"/>
        <v>1</v>
      </c>
    </row>
    <row r="183" spans="1:24">
      <c r="A183" s="233">
        <v>181</v>
      </c>
      <c r="B183" s="234" t="s">
        <v>565</v>
      </c>
      <c r="C183" s="234" t="s">
        <v>559</v>
      </c>
      <c r="D183" s="235" t="s">
        <v>1192</v>
      </c>
      <c r="E183" s="236"/>
      <c r="F183" s="236"/>
      <c r="G183" s="236" t="s">
        <v>1194</v>
      </c>
      <c r="H183" s="236"/>
      <c r="I183" s="236"/>
      <c r="J183" s="236"/>
      <c r="K183" s="235"/>
      <c r="L183" s="235"/>
      <c r="M183" s="235"/>
      <c r="N183" s="236"/>
      <c r="O183" s="236"/>
      <c r="P183" s="236"/>
      <c r="Q183" s="236"/>
      <c r="R183" s="236"/>
      <c r="S183" s="235"/>
      <c r="T183" s="235"/>
      <c r="U183" s="235"/>
      <c r="V183" s="236"/>
      <c r="W183" s="236"/>
      <c r="X183" s="229">
        <f t="shared" si="2"/>
        <v>1</v>
      </c>
    </row>
    <row r="184" spans="1:24">
      <c r="A184" s="233">
        <v>182</v>
      </c>
      <c r="B184" s="234" t="s">
        <v>565</v>
      </c>
      <c r="C184" s="234" t="s">
        <v>805</v>
      </c>
      <c r="D184" s="235" t="s">
        <v>1193</v>
      </c>
      <c r="E184" s="236"/>
      <c r="F184" s="236"/>
      <c r="G184" s="236"/>
      <c r="H184" s="236"/>
      <c r="I184" s="236"/>
      <c r="J184" s="236"/>
      <c r="K184" s="235" t="s">
        <v>1194</v>
      </c>
      <c r="L184" s="235"/>
      <c r="M184" s="235"/>
      <c r="N184" s="236"/>
      <c r="O184" s="236"/>
      <c r="P184" s="236"/>
      <c r="Q184" s="236"/>
      <c r="R184" s="236"/>
      <c r="S184" s="235"/>
      <c r="T184" s="235"/>
      <c r="U184" s="235"/>
      <c r="V184" s="236"/>
      <c r="W184" s="236"/>
      <c r="X184" s="229">
        <f t="shared" si="2"/>
        <v>1</v>
      </c>
    </row>
    <row r="185" spans="1:24">
      <c r="A185" s="233">
        <v>183</v>
      </c>
      <c r="B185" s="234" t="s">
        <v>221</v>
      </c>
      <c r="C185" s="234" t="s">
        <v>691</v>
      </c>
      <c r="D185" s="235" t="s">
        <v>1193</v>
      </c>
      <c r="E185" s="236"/>
      <c r="F185" s="236" t="s">
        <v>1194</v>
      </c>
      <c r="G185" s="236"/>
      <c r="H185" s="236"/>
      <c r="I185" s="236"/>
      <c r="J185" s="236"/>
      <c r="K185" s="235"/>
      <c r="L185" s="235"/>
      <c r="M185" s="235"/>
      <c r="N185" s="236"/>
      <c r="O185" s="236"/>
      <c r="P185" s="236"/>
      <c r="Q185" s="236"/>
      <c r="R185" s="236"/>
      <c r="S185" s="235"/>
      <c r="T185" s="235"/>
      <c r="U185" s="235"/>
      <c r="V185" s="236"/>
      <c r="W185" s="236"/>
      <c r="X185" s="229">
        <f t="shared" si="2"/>
        <v>1</v>
      </c>
    </row>
    <row r="186" spans="1:24">
      <c r="A186" s="233">
        <v>184</v>
      </c>
      <c r="B186" s="234" t="s">
        <v>221</v>
      </c>
      <c r="C186" s="234" t="s">
        <v>230</v>
      </c>
      <c r="D186" s="235" t="s">
        <v>1193</v>
      </c>
      <c r="E186" s="236"/>
      <c r="F186" s="236"/>
      <c r="G186" s="236"/>
      <c r="H186" s="236"/>
      <c r="I186" s="236"/>
      <c r="J186" s="236"/>
      <c r="K186" s="235"/>
      <c r="L186" s="235"/>
      <c r="M186" s="235"/>
      <c r="N186" s="236"/>
      <c r="O186" s="236"/>
      <c r="P186" s="236"/>
      <c r="Q186" s="236"/>
      <c r="R186" s="236"/>
      <c r="S186" s="235"/>
      <c r="T186" s="235"/>
      <c r="U186" s="235"/>
      <c r="V186" s="236"/>
      <c r="W186" s="236" t="s">
        <v>1194</v>
      </c>
      <c r="X186" s="229">
        <f t="shared" si="2"/>
        <v>1</v>
      </c>
    </row>
    <row r="187" spans="1:24">
      <c r="A187" s="233">
        <v>185</v>
      </c>
      <c r="B187" s="234" t="s">
        <v>221</v>
      </c>
      <c r="C187" s="234" t="s">
        <v>241</v>
      </c>
      <c r="D187" s="235" t="s">
        <v>1193</v>
      </c>
      <c r="E187" s="236"/>
      <c r="F187" s="236"/>
      <c r="G187" s="236"/>
      <c r="H187" s="236"/>
      <c r="I187" s="236"/>
      <c r="J187" s="236"/>
      <c r="K187" s="235"/>
      <c r="L187" s="235"/>
      <c r="M187" s="235"/>
      <c r="N187" s="236"/>
      <c r="O187" s="236"/>
      <c r="P187" s="236"/>
      <c r="Q187" s="236"/>
      <c r="R187" s="236"/>
      <c r="S187" s="235"/>
      <c r="T187" s="235"/>
      <c r="U187" s="235"/>
      <c r="V187" s="236"/>
      <c r="W187" s="236" t="s">
        <v>1194</v>
      </c>
      <c r="X187" s="229">
        <f t="shared" si="2"/>
        <v>1</v>
      </c>
    </row>
    <row r="188" spans="1:24">
      <c r="A188" s="233">
        <v>186</v>
      </c>
      <c r="B188" s="234" t="s">
        <v>221</v>
      </c>
      <c r="C188" s="234" t="s">
        <v>238</v>
      </c>
      <c r="D188" s="235" t="s">
        <v>1193</v>
      </c>
      <c r="E188" s="236"/>
      <c r="F188" s="236"/>
      <c r="G188" s="236"/>
      <c r="H188" s="236"/>
      <c r="I188" s="236"/>
      <c r="J188" s="236"/>
      <c r="K188" s="235"/>
      <c r="L188" s="235"/>
      <c r="M188" s="235"/>
      <c r="N188" s="236"/>
      <c r="O188" s="236"/>
      <c r="P188" s="236"/>
      <c r="Q188" s="236"/>
      <c r="R188" s="236"/>
      <c r="S188" s="235"/>
      <c r="T188" s="235"/>
      <c r="U188" s="235"/>
      <c r="V188" s="236"/>
      <c r="W188" s="236" t="s">
        <v>1194</v>
      </c>
      <c r="X188" s="229">
        <f t="shared" si="2"/>
        <v>1</v>
      </c>
    </row>
    <row r="189" spans="1:24">
      <c r="A189" s="233">
        <v>187</v>
      </c>
      <c r="B189" s="234" t="s">
        <v>221</v>
      </c>
      <c r="C189" s="234" t="s">
        <v>236</v>
      </c>
      <c r="D189" s="235" t="s">
        <v>1193</v>
      </c>
      <c r="E189" s="236"/>
      <c r="F189" s="236"/>
      <c r="G189" s="236"/>
      <c r="H189" s="236"/>
      <c r="I189" s="236"/>
      <c r="J189" s="236"/>
      <c r="K189" s="235"/>
      <c r="L189" s="235"/>
      <c r="M189" s="235"/>
      <c r="N189" s="236"/>
      <c r="O189" s="236"/>
      <c r="P189" s="236"/>
      <c r="Q189" s="236"/>
      <c r="R189" s="236"/>
      <c r="S189" s="235"/>
      <c r="T189" s="235"/>
      <c r="U189" s="235"/>
      <c r="V189" s="236"/>
      <c r="W189" s="236" t="s">
        <v>1194</v>
      </c>
      <c r="X189" s="229">
        <f t="shared" si="2"/>
        <v>1</v>
      </c>
    </row>
    <row r="190" spans="1:24">
      <c r="A190" s="233">
        <v>188</v>
      </c>
      <c r="B190" s="234" t="s">
        <v>221</v>
      </c>
      <c r="C190" s="234" t="s">
        <v>654</v>
      </c>
      <c r="D190" s="235" t="s">
        <v>1192</v>
      </c>
      <c r="E190" s="236"/>
      <c r="F190" s="236"/>
      <c r="G190" s="236"/>
      <c r="H190" s="236"/>
      <c r="I190" s="236"/>
      <c r="J190" s="236" t="s">
        <v>1194</v>
      </c>
      <c r="K190" s="235"/>
      <c r="L190" s="235"/>
      <c r="M190" s="235"/>
      <c r="N190" s="236"/>
      <c r="O190" s="236"/>
      <c r="P190" s="236"/>
      <c r="Q190" s="236"/>
      <c r="R190" s="236"/>
      <c r="S190" s="235"/>
      <c r="T190" s="235"/>
      <c r="U190" s="235"/>
      <c r="V190" s="236"/>
      <c r="W190" s="236"/>
      <c r="X190" s="229">
        <f t="shared" si="2"/>
        <v>1</v>
      </c>
    </row>
    <row r="191" spans="1:24">
      <c r="A191" s="233">
        <v>189</v>
      </c>
      <c r="B191" s="234" t="s">
        <v>221</v>
      </c>
      <c r="C191" s="234" t="s">
        <v>227</v>
      </c>
      <c r="D191" s="235" t="s">
        <v>1193</v>
      </c>
      <c r="E191" s="236"/>
      <c r="F191" s="236"/>
      <c r="G191" s="236"/>
      <c r="H191" s="236"/>
      <c r="I191" s="236"/>
      <c r="J191" s="236"/>
      <c r="K191" s="235"/>
      <c r="L191" s="235"/>
      <c r="M191" s="235"/>
      <c r="N191" s="236"/>
      <c r="O191" s="236"/>
      <c r="P191" s="236"/>
      <c r="Q191" s="236"/>
      <c r="R191" s="236"/>
      <c r="S191" s="235"/>
      <c r="T191" s="235"/>
      <c r="U191" s="235"/>
      <c r="V191" s="236"/>
      <c r="W191" s="236" t="s">
        <v>1194</v>
      </c>
      <c r="X191" s="229">
        <f t="shared" si="2"/>
        <v>1</v>
      </c>
    </row>
    <row r="192" spans="1:24">
      <c r="A192" s="233">
        <v>190</v>
      </c>
      <c r="B192" s="234" t="s">
        <v>221</v>
      </c>
      <c r="C192" s="234" t="s">
        <v>220</v>
      </c>
      <c r="D192" s="235" t="s">
        <v>1193</v>
      </c>
      <c r="E192" s="236"/>
      <c r="F192" s="236"/>
      <c r="G192" s="236"/>
      <c r="H192" s="236"/>
      <c r="I192" s="236"/>
      <c r="J192" s="236"/>
      <c r="K192" s="235"/>
      <c r="L192" s="235"/>
      <c r="M192" s="235"/>
      <c r="N192" s="236"/>
      <c r="O192" s="236"/>
      <c r="P192" s="236"/>
      <c r="Q192" s="236"/>
      <c r="R192" s="236"/>
      <c r="S192" s="235"/>
      <c r="T192" s="235"/>
      <c r="U192" s="235"/>
      <c r="V192" s="236"/>
      <c r="W192" s="236" t="s">
        <v>1194</v>
      </c>
      <c r="X192" s="229">
        <f t="shared" si="2"/>
        <v>1</v>
      </c>
    </row>
    <row r="193" spans="1:24">
      <c r="A193" s="233">
        <v>191</v>
      </c>
      <c r="B193" s="234" t="s">
        <v>221</v>
      </c>
      <c r="C193" s="234" t="s">
        <v>858</v>
      </c>
      <c r="D193" s="235" t="s">
        <v>1193</v>
      </c>
      <c r="E193" s="236"/>
      <c r="F193" s="236"/>
      <c r="G193" s="236"/>
      <c r="H193" s="236"/>
      <c r="I193" s="236"/>
      <c r="J193" s="236"/>
      <c r="K193" s="235"/>
      <c r="L193" s="235"/>
      <c r="M193" s="235"/>
      <c r="N193" s="236" t="s">
        <v>1194</v>
      </c>
      <c r="O193" s="236"/>
      <c r="P193" s="236"/>
      <c r="Q193" s="236"/>
      <c r="R193" s="236"/>
      <c r="S193" s="235"/>
      <c r="T193" s="235"/>
      <c r="U193" s="235"/>
      <c r="V193" s="236"/>
      <c r="W193" s="236"/>
      <c r="X193" s="229">
        <f t="shared" si="2"/>
        <v>1</v>
      </c>
    </row>
    <row r="194" spans="1:24">
      <c r="A194" s="233">
        <v>192</v>
      </c>
      <c r="B194" s="234" t="s">
        <v>221</v>
      </c>
      <c r="C194" s="234" t="s">
        <v>222</v>
      </c>
      <c r="D194" s="235" t="s">
        <v>1193</v>
      </c>
      <c r="E194" s="236"/>
      <c r="F194" s="236"/>
      <c r="G194" s="236"/>
      <c r="H194" s="236"/>
      <c r="I194" s="236"/>
      <c r="J194" s="236"/>
      <c r="K194" s="235"/>
      <c r="L194" s="235"/>
      <c r="M194" s="235"/>
      <c r="N194" s="236"/>
      <c r="O194" s="236"/>
      <c r="P194" s="236"/>
      <c r="Q194" s="236"/>
      <c r="R194" s="236"/>
      <c r="S194" s="235"/>
      <c r="T194" s="235"/>
      <c r="U194" s="235"/>
      <c r="V194" s="236"/>
      <c r="W194" s="236" t="s">
        <v>1194</v>
      </c>
      <c r="X194" s="229">
        <f t="shared" si="2"/>
        <v>1</v>
      </c>
    </row>
    <row r="195" spans="1:24">
      <c r="A195" s="233">
        <v>193</v>
      </c>
      <c r="B195" s="234" t="s">
        <v>403</v>
      </c>
      <c r="C195" s="234" t="s">
        <v>409</v>
      </c>
      <c r="D195" s="235" t="s">
        <v>1193</v>
      </c>
      <c r="E195" s="236"/>
      <c r="F195" s="236"/>
      <c r="G195" s="236"/>
      <c r="H195" s="236"/>
      <c r="I195" s="236"/>
      <c r="J195" s="236"/>
      <c r="K195" s="235"/>
      <c r="L195" s="235"/>
      <c r="M195" s="235"/>
      <c r="N195" s="236"/>
      <c r="O195" s="236"/>
      <c r="P195" s="236"/>
      <c r="Q195" s="236"/>
      <c r="R195" s="236"/>
      <c r="S195" s="235"/>
      <c r="T195" s="235"/>
      <c r="U195" s="235" t="s">
        <v>1194</v>
      </c>
      <c r="V195" s="236"/>
      <c r="W195" s="236"/>
      <c r="X195" s="229">
        <f t="shared" si="2"/>
        <v>1</v>
      </c>
    </row>
    <row r="196" spans="1:24">
      <c r="A196" s="233">
        <v>194</v>
      </c>
      <c r="B196" s="234" t="s">
        <v>403</v>
      </c>
      <c r="C196" s="234" t="s">
        <v>415</v>
      </c>
      <c r="D196" s="235" t="s">
        <v>1192</v>
      </c>
      <c r="E196" s="236"/>
      <c r="F196" s="236"/>
      <c r="G196" s="236"/>
      <c r="H196" s="236"/>
      <c r="I196" s="236"/>
      <c r="J196" s="236"/>
      <c r="K196" s="235"/>
      <c r="L196" s="235"/>
      <c r="M196" s="235"/>
      <c r="N196" s="236"/>
      <c r="O196" s="236"/>
      <c r="P196" s="236"/>
      <c r="Q196" s="236"/>
      <c r="R196" s="236"/>
      <c r="S196" s="235"/>
      <c r="T196" s="235"/>
      <c r="U196" s="235" t="s">
        <v>1194</v>
      </c>
      <c r="V196" s="236"/>
      <c r="W196" s="236"/>
      <c r="X196" s="229">
        <f t="shared" ref="X196:X259" si="3">COUNTIF(E196:W196,"x")</f>
        <v>1</v>
      </c>
    </row>
    <row r="197" spans="1:24">
      <c r="A197" s="233">
        <v>195</v>
      </c>
      <c r="B197" s="234" t="s">
        <v>403</v>
      </c>
      <c r="C197" s="234" t="s">
        <v>414</v>
      </c>
      <c r="D197" s="235" t="s">
        <v>1192</v>
      </c>
      <c r="E197" s="236"/>
      <c r="F197" s="236"/>
      <c r="G197" s="236"/>
      <c r="H197" s="236"/>
      <c r="I197" s="236"/>
      <c r="J197" s="236"/>
      <c r="K197" s="235"/>
      <c r="L197" s="235"/>
      <c r="M197" s="235"/>
      <c r="N197" s="236"/>
      <c r="O197" s="236"/>
      <c r="P197" s="236"/>
      <c r="Q197" s="236"/>
      <c r="R197" s="236"/>
      <c r="S197" s="235"/>
      <c r="T197" s="235"/>
      <c r="U197" s="235" t="s">
        <v>1194</v>
      </c>
      <c r="V197" s="236"/>
      <c r="W197" s="236"/>
      <c r="X197" s="229">
        <f t="shared" si="3"/>
        <v>1</v>
      </c>
    </row>
    <row r="198" spans="1:24">
      <c r="A198" s="233">
        <v>196</v>
      </c>
      <c r="B198" s="234" t="s">
        <v>403</v>
      </c>
      <c r="C198" s="234" t="s">
        <v>408</v>
      </c>
      <c r="D198" s="235" t="s">
        <v>1193</v>
      </c>
      <c r="E198" s="236"/>
      <c r="F198" s="236"/>
      <c r="G198" s="236"/>
      <c r="H198" s="236"/>
      <c r="I198" s="236"/>
      <c r="J198" s="236"/>
      <c r="K198" s="235"/>
      <c r="L198" s="235"/>
      <c r="M198" s="235"/>
      <c r="N198" s="236"/>
      <c r="O198" s="236"/>
      <c r="P198" s="236"/>
      <c r="Q198" s="236"/>
      <c r="R198" s="236"/>
      <c r="S198" s="235"/>
      <c r="T198" s="235"/>
      <c r="U198" s="235" t="s">
        <v>1194</v>
      </c>
      <c r="V198" s="236"/>
      <c r="W198" s="236"/>
      <c r="X198" s="229">
        <f t="shared" si="3"/>
        <v>1</v>
      </c>
    </row>
    <row r="199" spans="1:24">
      <c r="A199" s="233">
        <v>197</v>
      </c>
      <c r="B199" s="234" t="s">
        <v>403</v>
      </c>
      <c r="C199" s="234" t="s">
        <v>413</v>
      </c>
      <c r="D199" s="235" t="s">
        <v>1192</v>
      </c>
      <c r="E199" s="236"/>
      <c r="F199" s="236"/>
      <c r="G199" s="236"/>
      <c r="H199" s="236"/>
      <c r="I199" s="236"/>
      <c r="J199" s="236"/>
      <c r="K199" s="235"/>
      <c r="L199" s="235"/>
      <c r="M199" s="235"/>
      <c r="N199" s="236"/>
      <c r="O199" s="236"/>
      <c r="P199" s="236"/>
      <c r="Q199" s="236"/>
      <c r="R199" s="236"/>
      <c r="S199" s="235"/>
      <c r="T199" s="235"/>
      <c r="U199" s="235" t="s">
        <v>1194</v>
      </c>
      <c r="V199" s="236"/>
      <c r="W199" s="236"/>
      <c r="X199" s="229">
        <f t="shared" si="3"/>
        <v>1</v>
      </c>
    </row>
    <row r="200" spans="1:24">
      <c r="A200" s="233">
        <v>198</v>
      </c>
      <c r="B200" s="234" t="s">
        <v>403</v>
      </c>
      <c r="C200" s="234" t="s">
        <v>412</v>
      </c>
      <c r="D200" s="235" t="s">
        <v>1193</v>
      </c>
      <c r="E200" s="236"/>
      <c r="F200" s="236"/>
      <c r="G200" s="236"/>
      <c r="H200" s="236"/>
      <c r="I200" s="236"/>
      <c r="J200" s="236"/>
      <c r="K200" s="235"/>
      <c r="L200" s="235"/>
      <c r="M200" s="235"/>
      <c r="N200" s="236"/>
      <c r="O200" s="236"/>
      <c r="P200" s="236"/>
      <c r="Q200" s="236"/>
      <c r="R200" s="236"/>
      <c r="S200" s="235"/>
      <c r="T200" s="235"/>
      <c r="U200" s="235" t="s">
        <v>1194</v>
      </c>
      <c r="V200" s="236"/>
      <c r="W200" s="236"/>
      <c r="X200" s="229">
        <f t="shared" si="3"/>
        <v>1</v>
      </c>
    </row>
    <row r="201" spans="1:24">
      <c r="A201" s="233">
        <v>199</v>
      </c>
      <c r="B201" s="234" t="s">
        <v>403</v>
      </c>
      <c r="C201" s="234" t="s">
        <v>411</v>
      </c>
      <c r="D201" s="235" t="s">
        <v>1193</v>
      </c>
      <c r="E201" s="236"/>
      <c r="F201" s="236"/>
      <c r="G201" s="236"/>
      <c r="H201" s="236"/>
      <c r="I201" s="236"/>
      <c r="J201" s="236"/>
      <c r="K201" s="235"/>
      <c r="L201" s="235"/>
      <c r="M201" s="235"/>
      <c r="N201" s="236"/>
      <c r="O201" s="236"/>
      <c r="P201" s="236"/>
      <c r="Q201" s="236"/>
      <c r="R201" s="236"/>
      <c r="S201" s="235"/>
      <c r="T201" s="235"/>
      <c r="U201" s="235" t="s">
        <v>1194</v>
      </c>
      <c r="V201" s="236"/>
      <c r="W201" s="236"/>
      <c r="X201" s="229">
        <f t="shared" si="3"/>
        <v>1</v>
      </c>
    </row>
    <row r="202" spans="1:24">
      <c r="A202" s="233">
        <v>200</v>
      </c>
      <c r="B202" s="234" t="s">
        <v>224</v>
      </c>
      <c r="C202" s="234" t="s">
        <v>840</v>
      </c>
      <c r="D202" s="235" t="s">
        <v>1192</v>
      </c>
      <c r="E202" s="236"/>
      <c r="F202" s="236"/>
      <c r="G202" s="236"/>
      <c r="H202" s="236"/>
      <c r="I202" s="236"/>
      <c r="J202" s="236"/>
      <c r="K202" s="235"/>
      <c r="L202" s="235"/>
      <c r="M202" s="235" t="s">
        <v>1194</v>
      </c>
      <c r="N202" s="236"/>
      <c r="O202" s="236"/>
      <c r="P202" s="236"/>
      <c r="Q202" s="236"/>
      <c r="R202" s="236"/>
      <c r="S202" s="235"/>
      <c r="T202" s="235"/>
      <c r="U202" s="235"/>
      <c r="V202" s="236"/>
      <c r="W202" s="236"/>
      <c r="X202" s="229">
        <f t="shared" si="3"/>
        <v>1</v>
      </c>
    </row>
    <row r="203" spans="1:24">
      <c r="A203" s="233">
        <v>201</v>
      </c>
      <c r="B203" s="234" t="s">
        <v>224</v>
      </c>
      <c r="C203" s="234" t="s">
        <v>366</v>
      </c>
      <c r="D203" s="235" t="s">
        <v>1193</v>
      </c>
      <c r="E203" s="236"/>
      <c r="F203" s="236"/>
      <c r="G203" s="236"/>
      <c r="H203" s="236"/>
      <c r="I203" s="236"/>
      <c r="J203" s="236"/>
      <c r="K203" s="235"/>
      <c r="L203" s="235"/>
      <c r="M203" s="235"/>
      <c r="N203" s="236"/>
      <c r="O203" s="236"/>
      <c r="P203" s="236"/>
      <c r="Q203" s="236"/>
      <c r="R203" s="236"/>
      <c r="S203" s="235"/>
      <c r="T203" s="235"/>
      <c r="U203" s="235"/>
      <c r="V203" s="236"/>
      <c r="W203" s="236" t="s">
        <v>1194</v>
      </c>
      <c r="X203" s="229">
        <f t="shared" si="3"/>
        <v>1</v>
      </c>
    </row>
    <row r="204" spans="1:24">
      <c r="A204" s="233">
        <v>202</v>
      </c>
      <c r="B204" s="234" t="s">
        <v>224</v>
      </c>
      <c r="C204" s="234" t="s">
        <v>363</v>
      </c>
      <c r="D204" s="235" t="s">
        <v>1193</v>
      </c>
      <c r="E204" s="236"/>
      <c r="F204" s="236"/>
      <c r="G204" s="236"/>
      <c r="H204" s="236"/>
      <c r="I204" s="236"/>
      <c r="J204" s="236"/>
      <c r="K204" s="235"/>
      <c r="L204" s="235"/>
      <c r="M204" s="235"/>
      <c r="N204" s="236"/>
      <c r="O204" s="236"/>
      <c r="P204" s="236"/>
      <c r="Q204" s="236"/>
      <c r="R204" s="236"/>
      <c r="S204" s="235"/>
      <c r="T204" s="235"/>
      <c r="U204" s="235"/>
      <c r="V204" s="236"/>
      <c r="W204" s="236" t="s">
        <v>1194</v>
      </c>
      <c r="X204" s="229">
        <f t="shared" si="3"/>
        <v>1</v>
      </c>
    </row>
    <row r="205" spans="1:24">
      <c r="A205" s="233">
        <v>203</v>
      </c>
      <c r="B205" s="234" t="s">
        <v>224</v>
      </c>
      <c r="C205" s="234" t="s">
        <v>358</v>
      </c>
      <c r="D205" s="235" t="s">
        <v>1193</v>
      </c>
      <c r="E205" s="236"/>
      <c r="F205" s="236"/>
      <c r="G205" s="236"/>
      <c r="H205" s="236"/>
      <c r="I205" s="236"/>
      <c r="J205" s="236"/>
      <c r="K205" s="235"/>
      <c r="L205" s="235"/>
      <c r="M205" s="235"/>
      <c r="N205" s="236"/>
      <c r="O205" s="236"/>
      <c r="P205" s="236"/>
      <c r="Q205" s="236"/>
      <c r="R205" s="236"/>
      <c r="S205" s="235"/>
      <c r="T205" s="235"/>
      <c r="U205" s="235"/>
      <c r="V205" s="236"/>
      <c r="W205" s="236" t="s">
        <v>1194</v>
      </c>
      <c r="X205" s="229">
        <f t="shared" si="3"/>
        <v>1</v>
      </c>
    </row>
    <row r="206" spans="1:24">
      <c r="A206" s="233">
        <v>204</v>
      </c>
      <c r="B206" s="234" t="s">
        <v>224</v>
      </c>
      <c r="C206" s="234" t="s">
        <v>365</v>
      </c>
      <c r="D206" s="235" t="s">
        <v>1193</v>
      </c>
      <c r="E206" s="236"/>
      <c r="F206" s="236"/>
      <c r="G206" s="236"/>
      <c r="H206" s="236"/>
      <c r="I206" s="236"/>
      <c r="J206" s="236"/>
      <c r="K206" s="235"/>
      <c r="L206" s="235"/>
      <c r="M206" s="235"/>
      <c r="N206" s="236"/>
      <c r="O206" s="236"/>
      <c r="P206" s="236"/>
      <c r="Q206" s="236"/>
      <c r="R206" s="236"/>
      <c r="S206" s="235"/>
      <c r="T206" s="235"/>
      <c r="U206" s="235"/>
      <c r="V206" s="236"/>
      <c r="W206" s="236" t="s">
        <v>1194</v>
      </c>
      <c r="X206" s="229">
        <f t="shared" si="3"/>
        <v>1</v>
      </c>
    </row>
    <row r="207" spans="1:24">
      <c r="A207" s="233">
        <v>205</v>
      </c>
      <c r="B207" s="234" t="s">
        <v>224</v>
      </c>
      <c r="C207" s="234" t="s">
        <v>225</v>
      </c>
      <c r="D207" s="235" t="s">
        <v>1192</v>
      </c>
      <c r="E207" s="236"/>
      <c r="F207" s="236"/>
      <c r="G207" s="236"/>
      <c r="H207" s="236"/>
      <c r="I207" s="236"/>
      <c r="J207" s="236"/>
      <c r="K207" s="235"/>
      <c r="L207" s="235"/>
      <c r="M207" s="235" t="s">
        <v>1194</v>
      </c>
      <c r="N207" s="236"/>
      <c r="O207" s="236"/>
      <c r="P207" s="236"/>
      <c r="Q207" s="236"/>
      <c r="R207" s="236"/>
      <c r="S207" s="235"/>
      <c r="T207" s="235"/>
      <c r="U207" s="235"/>
      <c r="V207" s="236" t="s">
        <v>1194</v>
      </c>
      <c r="W207" s="236"/>
      <c r="X207" s="229">
        <f t="shared" si="3"/>
        <v>2</v>
      </c>
    </row>
    <row r="208" spans="1:24">
      <c r="A208" s="233">
        <v>206</v>
      </c>
      <c r="B208" s="234" t="s">
        <v>224</v>
      </c>
      <c r="C208" s="234" t="s">
        <v>229</v>
      </c>
      <c r="D208" s="235" t="s">
        <v>1192</v>
      </c>
      <c r="E208" s="236"/>
      <c r="F208" s="236"/>
      <c r="G208" s="236"/>
      <c r="H208" s="236"/>
      <c r="I208" s="236"/>
      <c r="J208" s="236"/>
      <c r="K208" s="235"/>
      <c r="L208" s="235"/>
      <c r="M208" s="235"/>
      <c r="N208" s="236"/>
      <c r="O208" s="236"/>
      <c r="P208" s="236"/>
      <c r="Q208" s="236"/>
      <c r="R208" s="236"/>
      <c r="S208" s="235"/>
      <c r="T208" s="235"/>
      <c r="U208" s="235"/>
      <c r="V208" s="236" t="s">
        <v>1194</v>
      </c>
      <c r="W208" s="236"/>
      <c r="X208" s="229">
        <f t="shared" si="3"/>
        <v>1</v>
      </c>
    </row>
    <row r="209" spans="1:24">
      <c r="A209" s="233">
        <v>207</v>
      </c>
      <c r="B209" s="234" t="s">
        <v>224</v>
      </c>
      <c r="C209" s="234" t="s">
        <v>223</v>
      </c>
      <c r="D209" s="235" t="s">
        <v>1192</v>
      </c>
      <c r="E209" s="236"/>
      <c r="F209" s="236"/>
      <c r="G209" s="236"/>
      <c r="H209" s="236"/>
      <c r="I209" s="236"/>
      <c r="J209" s="236"/>
      <c r="K209" s="235"/>
      <c r="L209" s="235"/>
      <c r="M209" s="235"/>
      <c r="N209" s="236"/>
      <c r="O209" s="236"/>
      <c r="P209" s="236"/>
      <c r="Q209" s="236"/>
      <c r="R209" s="236"/>
      <c r="S209" s="235"/>
      <c r="T209" s="235"/>
      <c r="U209" s="235"/>
      <c r="V209" s="236" t="s">
        <v>1194</v>
      </c>
      <c r="W209" s="236"/>
      <c r="X209" s="229">
        <f t="shared" si="3"/>
        <v>1</v>
      </c>
    </row>
    <row r="210" spans="1:24">
      <c r="A210" s="233">
        <v>208</v>
      </c>
      <c r="B210" s="234" t="s">
        <v>567</v>
      </c>
      <c r="C210" s="234" t="s">
        <v>535</v>
      </c>
      <c r="D210" s="235" t="s">
        <v>1192</v>
      </c>
      <c r="E210" s="236"/>
      <c r="F210" s="236"/>
      <c r="G210" s="236" t="s">
        <v>1194</v>
      </c>
      <c r="H210" s="236"/>
      <c r="I210" s="236"/>
      <c r="J210" s="236" t="s">
        <v>1194</v>
      </c>
      <c r="K210" s="235"/>
      <c r="L210" s="235"/>
      <c r="M210" s="235"/>
      <c r="N210" s="236"/>
      <c r="O210" s="236"/>
      <c r="P210" s="236"/>
      <c r="Q210" s="236"/>
      <c r="R210" s="236"/>
      <c r="S210" s="235"/>
      <c r="T210" s="235"/>
      <c r="U210" s="235"/>
      <c r="V210" s="236"/>
      <c r="W210" s="236"/>
      <c r="X210" s="229">
        <f t="shared" si="3"/>
        <v>2</v>
      </c>
    </row>
    <row r="211" spans="1:24">
      <c r="A211" s="233">
        <v>209</v>
      </c>
      <c r="B211" s="234" t="s">
        <v>567</v>
      </c>
      <c r="C211" s="234" t="s">
        <v>615</v>
      </c>
      <c r="D211" s="235" t="s">
        <v>1192</v>
      </c>
      <c r="E211" s="236"/>
      <c r="F211" s="236"/>
      <c r="G211" s="236"/>
      <c r="H211" s="236"/>
      <c r="I211" s="236" t="s">
        <v>1194</v>
      </c>
      <c r="J211" s="236"/>
      <c r="K211" s="235"/>
      <c r="L211" s="235"/>
      <c r="M211" s="235"/>
      <c r="N211" s="236"/>
      <c r="O211" s="236"/>
      <c r="P211" s="236"/>
      <c r="Q211" s="236"/>
      <c r="R211" s="236"/>
      <c r="S211" s="235"/>
      <c r="T211" s="235"/>
      <c r="U211" s="235"/>
      <c r="V211" s="236"/>
      <c r="W211" s="236"/>
      <c r="X211" s="229">
        <f t="shared" si="3"/>
        <v>1</v>
      </c>
    </row>
    <row r="212" spans="1:24">
      <c r="A212" s="233">
        <v>210</v>
      </c>
      <c r="B212" s="234" t="s">
        <v>658</v>
      </c>
      <c r="C212" s="234" t="s">
        <v>748</v>
      </c>
      <c r="D212" s="235" t="s">
        <v>1193</v>
      </c>
      <c r="E212" s="236"/>
      <c r="F212" s="236"/>
      <c r="G212" s="236"/>
      <c r="H212" s="236"/>
      <c r="I212" s="236"/>
      <c r="J212" s="236"/>
      <c r="K212" s="235"/>
      <c r="L212" s="235" t="s">
        <v>1194</v>
      </c>
      <c r="M212" s="235"/>
      <c r="N212" s="236"/>
      <c r="O212" s="236"/>
      <c r="P212" s="236"/>
      <c r="Q212" s="236"/>
      <c r="R212" s="236"/>
      <c r="S212" s="235"/>
      <c r="T212" s="235"/>
      <c r="U212" s="235"/>
      <c r="V212" s="236"/>
      <c r="W212" s="236"/>
      <c r="X212" s="229">
        <f t="shared" si="3"/>
        <v>1</v>
      </c>
    </row>
    <row r="213" spans="1:24">
      <c r="A213" s="233">
        <v>211</v>
      </c>
      <c r="B213" s="234" t="s">
        <v>658</v>
      </c>
      <c r="C213" s="234" t="s">
        <v>746</v>
      </c>
      <c r="D213" s="235" t="s">
        <v>1192</v>
      </c>
      <c r="E213" s="236"/>
      <c r="F213" s="236"/>
      <c r="G213" s="236"/>
      <c r="H213" s="236"/>
      <c r="I213" s="236"/>
      <c r="J213" s="236"/>
      <c r="K213" s="235"/>
      <c r="L213" s="235" t="s">
        <v>1194</v>
      </c>
      <c r="M213" s="235"/>
      <c r="N213" s="236"/>
      <c r="O213" s="236"/>
      <c r="P213" s="236"/>
      <c r="Q213" s="236"/>
      <c r="R213" s="236"/>
      <c r="S213" s="235"/>
      <c r="T213" s="235"/>
      <c r="U213" s="235"/>
      <c r="V213" s="236"/>
      <c r="W213" s="236"/>
      <c r="X213" s="229">
        <f t="shared" si="3"/>
        <v>1</v>
      </c>
    </row>
    <row r="214" spans="1:24">
      <c r="A214" s="233">
        <v>212</v>
      </c>
      <c r="B214" s="234" t="s">
        <v>658</v>
      </c>
      <c r="C214" s="234" t="s">
        <v>657</v>
      </c>
      <c r="D214" s="235" t="s">
        <v>1192</v>
      </c>
      <c r="E214" s="236"/>
      <c r="F214" s="236"/>
      <c r="G214" s="236"/>
      <c r="H214" s="236"/>
      <c r="I214" s="236"/>
      <c r="J214" s="236" t="s">
        <v>1194</v>
      </c>
      <c r="K214" s="235"/>
      <c r="L214" s="235"/>
      <c r="M214" s="235"/>
      <c r="N214" s="236"/>
      <c r="O214" s="236"/>
      <c r="P214" s="236"/>
      <c r="Q214" s="236"/>
      <c r="R214" s="236"/>
      <c r="S214" s="235"/>
      <c r="T214" s="235"/>
      <c r="U214" s="235"/>
      <c r="V214" s="236"/>
      <c r="W214" s="236"/>
      <c r="X214" s="229">
        <f t="shared" si="3"/>
        <v>1</v>
      </c>
    </row>
    <row r="215" spans="1:24">
      <c r="A215" s="233">
        <v>213</v>
      </c>
      <c r="B215" s="234" t="s">
        <v>491</v>
      </c>
      <c r="C215" s="234" t="s">
        <v>717</v>
      </c>
      <c r="D215" s="235" t="s">
        <v>1192</v>
      </c>
      <c r="E215" s="236"/>
      <c r="F215" s="236"/>
      <c r="G215" s="236"/>
      <c r="H215" s="236"/>
      <c r="I215" s="236"/>
      <c r="J215" s="236"/>
      <c r="K215" s="235"/>
      <c r="L215" s="235"/>
      <c r="M215" s="235"/>
      <c r="N215" s="236"/>
      <c r="O215" s="236"/>
      <c r="P215" s="236"/>
      <c r="Q215" s="236"/>
      <c r="R215" s="236" t="s">
        <v>1194</v>
      </c>
      <c r="S215" s="235"/>
      <c r="T215" s="235"/>
      <c r="U215" s="235"/>
      <c r="V215" s="236"/>
      <c r="W215" s="236"/>
      <c r="X215" s="229">
        <f t="shared" si="3"/>
        <v>1</v>
      </c>
    </row>
    <row r="216" spans="1:24">
      <c r="A216" s="233">
        <v>214</v>
      </c>
      <c r="B216" s="234" t="s">
        <v>491</v>
      </c>
      <c r="C216" s="234" t="s">
        <v>490</v>
      </c>
      <c r="D216" s="235" t="s">
        <v>1192</v>
      </c>
      <c r="E216" s="236"/>
      <c r="F216" s="236"/>
      <c r="G216" s="236"/>
      <c r="H216" s="236"/>
      <c r="I216" s="236"/>
      <c r="J216" s="236"/>
      <c r="K216" s="235"/>
      <c r="L216" s="235"/>
      <c r="M216" s="235"/>
      <c r="N216" s="236"/>
      <c r="O216" s="236"/>
      <c r="P216" s="236" t="s">
        <v>1194</v>
      </c>
      <c r="Q216" s="236"/>
      <c r="R216" s="236" t="s">
        <v>1194</v>
      </c>
      <c r="S216" s="235"/>
      <c r="T216" s="235" t="s">
        <v>1194</v>
      </c>
      <c r="U216" s="235"/>
      <c r="V216" s="236"/>
      <c r="W216" s="236"/>
      <c r="X216" s="229">
        <f t="shared" si="3"/>
        <v>3</v>
      </c>
    </row>
    <row r="217" spans="1:24">
      <c r="A217" s="233">
        <v>215</v>
      </c>
      <c r="B217" s="234" t="s">
        <v>491</v>
      </c>
      <c r="C217" s="234" t="s">
        <v>758</v>
      </c>
      <c r="D217" s="235" t="s">
        <v>1193</v>
      </c>
      <c r="E217" s="236"/>
      <c r="F217" s="236"/>
      <c r="G217" s="236"/>
      <c r="H217" s="236"/>
      <c r="I217" s="236"/>
      <c r="J217" s="236"/>
      <c r="K217" s="235"/>
      <c r="L217" s="235"/>
      <c r="M217" s="235"/>
      <c r="N217" s="236"/>
      <c r="O217" s="236"/>
      <c r="P217" s="236" t="s">
        <v>1194</v>
      </c>
      <c r="Q217" s="236"/>
      <c r="R217" s="236"/>
      <c r="S217" s="235"/>
      <c r="T217" s="235"/>
      <c r="U217" s="235"/>
      <c r="V217" s="236"/>
      <c r="W217" s="236"/>
      <c r="X217" s="229">
        <f t="shared" si="3"/>
        <v>1</v>
      </c>
    </row>
    <row r="218" spans="1:24">
      <c r="A218" s="233">
        <v>216</v>
      </c>
      <c r="B218" s="234" t="s">
        <v>292</v>
      </c>
      <c r="C218" s="234" t="s">
        <v>426</v>
      </c>
      <c r="D218" s="235" t="s">
        <v>1192</v>
      </c>
      <c r="E218" s="236"/>
      <c r="F218" s="236"/>
      <c r="G218" s="236"/>
      <c r="H218" s="236"/>
      <c r="I218" s="236"/>
      <c r="J218" s="236"/>
      <c r="K218" s="235"/>
      <c r="L218" s="235"/>
      <c r="M218" s="235"/>
      <c r="N218" s="236"/>
      <c r="O218" s="236"/>
      <c r="P218" s="236"/>
      <c r="Q218" s="236"/>
      <c r="R218" s="236"/>
      <c r="S218" s="235"/>
      <c r="T218" s="235"/>
      <c r="U218" s="235" t="s">
        <v>1194</v>
      </c>
      <c r="V218" s="236"/>
      <c r="W218" s="236"/>
      <c r="X218" s="229">
        <f t="shared" si="3"/>
        <v>1</v>
      </c>
    </row>
    <row r="219" spans="1:24">
      <c r="A219" s="233">
        <v>217</v>
      </c>
      <c r="B219" s="234" t="s">
        <v>292</v>
      </c>
      <c r="C219" s="234" t="s">
        <v>425</v>
      </c>
      <c r="D219" s="235" t="s">
        <v>1192</v>
      </c>
      <c r="E219" s="236"/>
      <c r="F219" s="236"/>
      <c r="G219" s="236"/>
      <c r="H219" s="236"/>
      <c r="I219" s="236"/>
      <c r="J219" s="236"/>
      <c r="K219" s="235"/>
      <c r="L219" s="235"/>
      <c r="M219" s="235"/>
      <c r="N219" s="236"/>
      <c r="O219" s="236"/>
      <c r="P219" s="236"/>
      <c r="Q219" s="236"/>
      <c r="R219" s="236"/>
      <c r="S219" s="235"/>
      <c r="T219" s="235"/>
      <c r="U219" s="235" t="s">
        <v>1194</v>
      </c>
      <c r="V219" s="236"/>
      <c r="W219" s="236"/>
      <c r="X219" s="229">
        <f t="shared" si="3"/>
        <v>1</v>
      </c>
    </row>
    <row r="220" spans="1:24">
      <c r="A220" s="233">
        <v>218</v>
      </c>
      <c r="B220" s="234" t="s">
        <v>292</v>
      </c>
      <c r="C220" s="234" t="s">
        <v>427</v>
      </c>
      <c r="D220" s="235" t="s">
        <v>1192</v>
      </c>
      <c r="E220" s="236"/>
      <c r="F220" s="236"/>
      <c r="G220" s="236"/>
      <c r="H220" s="236"/>
      <c r="I220" s="236"/>
      <c r="J220" s="236"/>
      <c r="K220" s="235"/>
      <c r="L220" s="235"/>
      <c r="M220" s="235"/>
      <c r="N220" s="236"/>
      <c r="O220" s="236"/>
      <c r="P220" s="236"/>
      <c r="Q220" s="236"/>
      <c r="R220" s="236"/>
      <c r="S220" s="235"/>
      <c r="T220" s="235"/>
      <c r="U220" s="235" t="s">
        <v>1194</v>
      </c>
      <c r="V220" s="236"/>
      <c r="W220" s="236"/>
      <c r="X220" s="229">
        <f t="shared" si="3"/>
        <v>1</v>
      </c>
    </row>
    <row r="221" spans="1:24">
      <c r="A221" s="233">
        <v>219</v>
      </c>
      <c r="B221" s="234" t="s">
        <v>292</v>
      </c>
      <c r="C221" s="234" t="s">
        <v>291</v>
      </c>
      <c r="D221" s="235" t="s">
        <v>1192</v>
      </c>
      <c r="E221" s="236"/>
      <c r="F221" s="236"/>
      <c r="G221" s="236"/>
      <c r="H221" s="236"/>
      <c r="I221" s="236"/>
      <c r="J221" s="236"/>
      <c r="K221" s="235"/>
      <c r="L221" s="235"/>
      <c r="M221" s="235"/>
      <c r="N221" s="236"/>
      <c r="O221" s="236"/>
      <c r="P221" s="236"/>
      <c r="Q221" s="236"/>
      <c r="R221" s="236"/>
      <c r="S221" s="235"/>
      <c r="T221" s="235" t="s">
        <v>1194</v>
      </c>
      <c r="U221" s="235"/>
      <c r="V221" s="236" t="s">
        <v>1194</v>
      </c>
      <c r="W221" s="236"/>
      <c r="X221" s="229">
        <f t="shared" si="3"/>
        <v>2</v>
      </c>
    </row>
    <row r="222" spans="1:24">
      <c r="A222" s="233">
        <v>220</v>
      </c>
      <c r="B222" s="234" t="s">
        <v>292</v>
      </c>
      <c r="C222" s="234" t="s">
        <v>295</v>
      </c>
      <c r="D222" s="235" t="s">
        <v>1192</v>
      </c>
      <c r="E222" s="236"/>
      <c r="F222" s="236"/>
      <c r="G222" s="236"/>
      <c r="H222" s="236"/>
      <c r="I222" s="236"/>
      <c r="J222" s="236"/>
      <c r="K222" s="235"/>
      <c r="L222" s="235"/>
      <c r="M222" s="235"/>
      <c r="N222" s="236"/>
      <c r="O222" s="236"/>
      <c r="P222" s="236"/>
      <c r="Q222" s="236"/>
      <c r="R222" s="236"/>
      <c r="S222" s="235"/>
      <c r="T222" s="235"/>
      <c r="U222" s="235"/>
      <c r="V222" s="236" t="s">
        <v>1194</v>
      </c>
      <c r="W222" s="236"/>
      <c r="X222" s="229">
        <f t="shared" si="3"/>
        <v>1</v>
      </c>
    </row>
    <row r="223" spans="1:24">
      <c r="A223" s="233">
        <v>221</v>
      </c>
      <c r="B223" s="234" t="s">
        <v>36</v>
      </c>
      <c r="C223" s="234" t="s">
        <v>45</v>
      </c>
      <c r="D223" s="235" t="s">
        <v>1192</v>
      </c>
      <c r="E223" s="236"/>
      <c r="F223" s="236"/>
      <c r="G223" s="236"/>
      <c r="H223" s="236" t="s">
        <v>1194</v>
      </c>
      <c r="I223" s="236"/>
      <c r="J223" s="236"/>
      <c r="K223" s="235"/>
      <c r="L223" s="235"/>
      <c r="M223" s="235"/>
      <c r="N223" s="236"/>
      <c r="O223" s="236"/>
      <c r="P223" s="236"/>
      <c r="Q223" s="236"/>
      <c r="R223" s="236"/>
      <c r="S223" s="235"/>
      <c r="T223" s="235"/>
      <c r="U223" s="235"/>
      <c r="V223" s="236" t="s">
        <v>1194</v>
      </c>
      <c r="W223" s="236"/>
      <c r="X223" s="229">
        <f t="shared" si="3"/>
        <v>2</v>
      </c>
    </row>
    <row r="224" spans="1:24">
      <c r="A224" s="233">
        <v>222</v>
      </c>
      <c r="B224" s="234" t="s">
        <v>36</v>
      </c>
      <c r="C224" s="234" t="s">
        <v>54</v>
      </c>
      <c r="D224" s="235" t="s">
        <v>1192</v>
      </c>
      <c r="E224" s="236"/>
      <c r="F224" s="236"/>
      <c r="G224" s="236"/>
      <c r="H224" s="236"/>
      <c r="I224" s="236"/>
      <c r="J224" s="236"/>
      <c r="K224" s="235"/>
      <c r="L224" s="235"/>
      <c r="M224" s="235"/>
      <c r="N224" s="236"/>
      <c r="O224" s="236"/>
      <c r="P224" s="236"/>
      <c r="Q224" s="236"/>
      <c r="R224" s="236"/>
      <c r="S224" s="235"/>
      <c r="T224" s="235"/>
      <c r="U224" s="235"/>
      <c r="V224" s="236" t="s">
        <v>1194</v>
      </c>
      <c r="W224" s="236"/>
      <c r="X224" s="229">
        <f t="shared" si="3"/>
        <v>1</v>
      </c>
    </row>
    <row r="225" spans="1:24">
      <c r="A225" s="233">
        <v>223</v>
      </c>
      <c r="B225" s="234" t="s">
        <v>36</v>
      </c>
      <c r="C225" s="234" t="s">
        <v>35</v>
      </c>
      <c r="D225" s="235" t="s">
        <v>1192</v>
      </c>
      <c r="E225" s="236"/>
      <c r="F225" s="236"/>
      <c r="G225" s="236"/>
      <c r="H225" s="236"/>
      <c r="I225" s="236"/>
      <c r="J225" s="236"/>
      <c r="K225" s="235"/>
      <c r="L225" s="235"/>
      <c r="M225" s="235"/>
      <c r="N225" s="236"/>
      <c r="O225" s="236"/>
      <c r="P225" s="236"/>
      <c r="Q225" s="236"/>
      <c r="R225" s="236"/>
      <c r="S225" s="235"/>
      <c r="T225" s="235"/>
      <c r="U225" s="235"/>
      <c r="V225" s="236" t="s">
        <v>1194</v>
      </c>
      <c r="W225" s="236"/>
      <c r="X225" s="229">
        <f t="shared" si="3"/>
        <v>1</v>
      </c>
    </row>
    <row r="226" spans="1:24">
      <c r="A226" s="233">
        <v>224</v>
      </c>
      <c r="B226" s="234" t="s">
        <v>36</v>
      </c>
      <c r="C226" s="234" t="s">
        <v>423</v>
      </c>
      <c r="D226" s="235" t="s">
        <v>1193</v>
      </c>
      <c r="E226" s="236"/>
      <c r="F226" s="236"/>
      <c r="G226" s="236"/>
      <c r="H226" s="236"/>
      <c r="I226" s="236"/>
      <c r="J226" s="236"/>
      <c r="K226" s="235" t="s">
        <v>1194</v>
      </c>
      <c r="L226" s="235"/>
      <c r="M226" s="235"/>
      <c r="N226" s="236"/>
      <c r="O226" s="236"/>
      <c r="P226" s="236"/>
      <c r="Q226" s="236"/>
      <c r="R226" s="236"/>
      <c r="S226" s="235"/>
      <c r="T226" s="235"/>
      <c r="U226" s="235"/>
      <c r="V226" s="236"/>
      <c r="W226" s="236"/>
      <c r="X226" s="229">
        <f t="shared" si="3"/>
        <v>1</v>
      </c>
    </row>
    <row r="227" spans="1:24">
      <c r="A227" s="233">
        <v>225</v>
      </c>
      <c r="B227" s="234" t="s">
        <v>36</v>
      </c>
      <c r="C227" s="234" t="s">
        <v>60</v>
      </c>
      <c r="D227" s="235" t="s">
        <v>1192</v>
      </c>
      <c r="E227" s="236"/>
      <c r="F227" s="236"/>
      <c r="G227" s="236"/>
      <c r="H227" s="236"/>
      <c r="I227" s="236"/>
      <c r="J227" s="236"/>
      <c r="K227" s="235"/>
      <c r="L227" s="235"/>
      <c r="M227" s="235"/>
      <c r="N227" s="236"/>
      <c r="O227" s="236"/>
      <c r="P227" s="236"/>
      <c r="Q227" s="236"/>
      <c r="R227" s="236"/>
      <c r="S227" s="235"/>
      <c r="T227" s="235"/>
      <c r="U227" s="235"/>
      <c r="V227" s="236" t="s">
        <v>1194</v>
      </c>
      <c r="W227" s="236"/>
      <c r="X227" s="229">
        <f t="shared" si="3"/>
        <v>1</v>
      </c>
    </row>
    <row r="228" spans="1:24">
      <c r="A228" s="233">
        <v>226</v>
      </c>
      <c r="B228" s="234" t="s">
        <v>36</v>
      </c>
      <c r="C228" s="234" t="s">
        <v>809</v>
      </c>
      <c r="D228" s="235" t="s">
        <v>1193</v>
      </c>
      <c r="E228" s="236"/>
      <c r="F228" s="236"/>
      <c r="G228" s="236"/>
      <c r="H228" s="236"/>
      <c r="I228" s="236"/>
      <c r="J228" s="236"/>
      <c r="K228" s="235" t="s">
        <v>1194</v>
      </c>
      <c r="L228" s="235"/>
      <c r="M228" s="235"/>
      <c r="N228" s="236"/>
      <c r="O228" s="236"/>
      <c r="P228" s="236"/>
      <c r="Q228" s="236"/>
      <c r="R228" s="236"/>
      <c r="S228" s="235"/>
      <c r="T228" s="235"/>
      <c r="U228" s="235"/>
      <c r="V228" s="236"/>
      <c r="W228" s="236"/>
      <c r="X228" s="229">
        <f t="shared" si="3"/>
        <v>1</v>
      </c>
    </row>
    <row r="229" spans="1:24">
      <c r="A229" s="233">
        <v>227</v>
      </c>
      <c r="B229" s="234" t="s">
        <v>215</v>
      </c>
      <c r="C229" s="234" t="s">
        <v>214</v>
      </c>
      <c r="D229" s="235" t="s">
        <v>1193</v>
      </c>
      <c r="E229" s="236"/>
      <c r="F229" s="236"/>
      <c r="G229" s="236"/>
      <c r="H229" s="236"/>
      <c r="I229" s="236"/>
      <c r="J229" s="236"/>
      <c r="K229" s="235"/>
      <c r="L229" s="235"/>
      <c r="M229" s="235"/>
      <c r="N229" s="236"/>
      <c r="O229" s="236"/>
      <c r="P229" s="236"/>
      <c r="Q229" s="236"/>
      <c r="R229" s="236"/>
      <c r="S229" s="235"/>
      <c r="T229" s="235"/>
      <c r="U229" s="235"/>
      <c r="V229" s="236"/>
      <c r="W229" s="236" t="s">
        <v>1194</v>
      </c>
      <c r="X229" s="229">
        <f t="shared" si="3"/>
        <v>1</v>
      </c>
    </row>
    <row r="230" spans="1:24">
      <c r="A230" s="233">
        <v>228</v>
      </c>
      <c r="B230" s="234" t="s">
        <v>215</v>
      </c>
      <c r="C230" s="234" t="s">
        <v>247</v>
      </c>
      <c r="D230" s="235" t="s">
        <v>1193</v>
      </c>
      <c r="E230" s="236"/>
      <c r="F230" s="236"/>
      <c r="G230" s="236"/>
      <c r="H230" s="236"/>
      <c r="I230" s="236"/>
      <c r="J230" s="236"/>
      <c r="K230" s="235"/>
      <c r="L230" s="235"/>
      <c r="M230" s="235"/>
      <c r="N230" s="236"/>
      <c r="O230" s="236"/>
      <c r="P230" s="236"/>
      <c r="Q230" s="236"/>
      <c r="R230" s="236"/>
      <c r="S230" s="235"/>
      <c r="T230" s="235"/>
      <c r="U230" s="235"/>
      <c r="V230" s="236"/>
      <c r="W230" s="236" t="s">
        <v>1194</v>
      </c>
      <c r="X230" s="229">
        <f t="shared" si="3"/>
        <v>1</v>
      </c>
    </row>
    <row r="231" spans="1:24">
      <c r="A231" s="233">
        <v>229</v>
      </c>
      <c r="B231" s="234" t="s">
        <v>215</v>
      </c>
      <c r="C231" s="234" t="s">
        <v>734</v>
      </c>
      <c r="D231" s="235" t="s">
        <v>1192</v>
      </c>
      <c r="E231" s="236"/>
      <c r="F231" s="236"/>
      <c r="G231" s="236"/>
      <c r="H231" s="236"/>
      <c r="I231" s="236"/>
      <c r="J231" s="236"/>
      <c r="K231" s="235"/>
      <c r="L231" s="235" t="s">
        <v>1194</v>
      </c>
      <c r="M231" s="235"/>
      <c r="N231" s="236"/>
      <c r="O231" s="236"/>
      <c r="P231" s="236"/>
      <c r="Q231" s="236"/>
      <c r="R231" s="236"/>
      <c r="S231" s="235"/>
      <c r="T231" s="235"/>
      <c r="U231" s="235"/>
      <c r="V231" s="236"/>
      <c r="W231" s="236"/>
      <c r="X231" s="229">
        <f t="shared" si="3"/>
        <v>1</v>
      </c>
    </row>
    <row r="232" spans="1:24">
      <c r="A232" s="233">
        <v>230</v>
      </c>
      <c r="B232" s="234" t="s">
        <v>215</v>
      </c>
      <c r="C232" s="234" t="s">
        <v>740</v>
      </c>
      <c r="D232" s="235" t="s">
        <v>1193</v>
      </c>
      <c r="E232" s="236"/>
      <c r="F232" s="236"/>
      <c r="G232" s="236"/>
      <c r="H232" s="236"/>
      <c r="I232" s="236"/>
      <c r="J232" s="236"/>
      <c r="K232" s="235"/>
      <c r="L232" s="235" t="s">
        <v>1194</v>
      </c>
      <c r="M232" s="235"/>
      <c r="N232" s="236"/>
      <c r="O232" s="236"/>
      <c r="P232" s="236"/>
      <c r="Q232" s="236"/>
      <c r="R232" s="236"/>
      <c r="S232" s="235"/>
      <c r="T232" s="235"/>
      <c r="U232" s="235"/>
      <c r="V232" s="236"/>
      <c r="W232" s="236"/>
      <c r="X232" s="229">
        <f t="shared" si="3"/>
        <v>1</v>
      </c>
    </row>
    <row r="233" spans="1:24">
      <c r="A233" s="233">
        <v>231</v>
      </c>
      <c r="B233" s="234" t="s">
        <v>215</v>
      </c>
      <c r="C233" s="234" t="s">
        <v>218</v>
      </c>
      <c r="D233" s="235" t="s">
        <v>1193</v>
      </c>
      <c r="E233" s="236"/>
      <c r="F233" s="236"/>
      <c r="G233" s="236"/>
      <c r="H233" s="236"/>
      <c r="I233" s="236"/>
      <c r="J233" s="236"/>
      <c r="K233" s="235"/>
      <c r="L233" s="235"/>
      <c r="M233" s="235"/>
      <c r="N233" s="236"/>
      <c r="O233" s="236"/>
      <c r="P233" s="236"/>
      <c r="Q233" s="236"/>
      <c r="R233" s="236"/>
      <c r="S233" s="235"/>
      <c r="T233" s="235"/>
      <c r="U233" s="235"/>
      <c r="V233" s="236"/>
      <c r="W233" s="236" t="s">
        <v>1194</v>
      </c>
      <c r="X233" s="229">
        <f t="shared" si="3"/>
        <v>1</v>
      </c>
    </row>
    <row r="234" spans="1:24">
      <c r="A234" s="233">
        <v>232</v>
      </c>
      <c r="B234" s="234" t="s">
        <v>215</v>
      </c>
      <c r="C234" s="234" t="s">
        <v>244</v>
      </c>
      <c r="D234" s="235" t="s">
        <v>1193</v>
      </c>
      <c r="E234" s="236"/>
      <c r="F234" s="236"/>
      <c r="G234" s="236"/>
      <c r="H234" s="236"/>
      <c r="I234" s="236"/>
      <c r="J234" s="236"/>
      <c r="K234" s="235"/>
      <c r="L234" s="235"/>
      <c r="M234" s="235"/>
      <c r="N234" s="236"/>
      <c r="O234" s="236"/>
      <c r="P234" s="236"/>
      <c r="Q234" s="236"/>
      <c r="R234" s="236"/>
      <c r="S234" s="235"/>
      <c r="T234" s="235"/>
      <c r="U234" s="235"/>
      <c r="V234" s="236"/>
      <c r="W234" s="236" t="s">
        <v>1194</v>
      </c>
      <c r="X234" s="229">
        <f t="shared" si="3"/>
        <v>1</v>
      </c>
    </row>
    <row r="235" spans="1:24">
      <c r="A235" s="233">
        <v>233</v>
      </c>
      <c r="B235" s="234" t="s">
        <v>843</v>
      </c>
      <c r="C235" s="234" t="s">
        <v>842</v>
      </c>
      <c r="D235" s="235" t="s">
        <v>1192</v>
      </c>
      <c r="E235" s="236"/>
      <c r="F235" s="236"/>
      <c r="G235" s="236"/>
      <c r="H235" s="236"/>
      <c r="I235" s="236"/>
      <c r="J235" s="236"/>
      <c r="K235" s="235"/>
      <c r="L235" s="235"/>
      <c r="M235" s="235" t="s">
        <v>1194</v>
      </c>
      <c r="N235" s="236"/>
      <c r="O235" s="236"/>
      <c r="P235" s="236"/>
      <c r="Q235" s="236"/>
      <c r="R235" s="236"/>
      <c r="S235" s="235"/>
      <c r="T235" s="235"/>
      <c r="U235" s="235"/>
      <c r="V235" s="236"/>
      <c r="W235" s="236"/>
      <c r="X235" s="229">
        <f t="shared" si="3"/>
        <v>1</v>
      </c>
    </row>
    <row r="236" spans="1:24">
      <c r="A236" s="233">
        <v>234</v>
      </c>
      <c r="B236" s="234" t="s">
        <v>843</v>
      </c>
      <c r="C236" s="234" t="s">
        <v>847</v>
      </c>
      <c r="D236" s="235" t="s">
        <v>1192</v>
      </c>
      <c r="E236" s="236"/>
      <c r="F236" s="236"/>
      <c r="G236" s="236"/>
      <c r="H236" s="236"/>
      <c r="I236" s="236"/>
      <c r="J236" s="236"/>
      <c r="K236" s="235"/>
      <c r="L236" s="235"/>
      <c r="M236" s="235" t="s">
        <v>1194</v>
      </c>
      <c r="N236" s="236"/>
      <c r="O236" s="236"/>
      <c r="P236" s="236"/>
      <c r="Q236" s="236"/>
      <c r="R236" s="236"/>
      <c r="S236" s="235"/>
      <c r="T236" s="235"/>
      <c r="U236" s="235"/>
      <c r="V236" s="236"/>
      <c r="W236" s="236"/>
      <c r="X236" s="229">
        <f t="shared" si="3"/>
        <v>1</v>
      </c>
    </row>
    <row r="237" spans="1:24">
      <c r="A237" s="233">
        <v>235</v>
      </c>
      <c r="B237" s="234" t="s">
        <v>258</v>
      </c>
      <c r="C237" s="234" t="s">
        <v>275</v>
      </c>
      <c r="D237" s="235" t="s">
        <v>1193</v>
      </c>
      <c r="E237" s="236"/>
      <c r="F237" s="236"/>
      <c r="G237" s="236"/>
      <c r="H237" s="236"/>
      <c r="I237" s="236"/>
      <c r="J237" s="236"/>
      <c r="K237" s="235"/>
      <c r="L237" s="235"/>
      <c r="M237" s="235"/>
      <c r="N237" s="236"/>
      <c r="O237" s="236"/>
      <c r="P237" s="236"/>
      <c r="Q237" s="236"/>
      <c r="R237" s="236"/>
      <c r="S237" s="235"/>
      <c r="T237" s="235"/>
      <c r="U237" s="235"/>
      <c r="V237" s="236"/>
      <c r="W237" s="236" t="s">
        <v>1194</v>
      </c>
      <c r="X237" s="229">
        <f t="shared" si="3"/>
        <v>1</v>
      </c>
    </row>
    <row r="238" spans="1:24">
      <c r="A238" s="233">
        <v>236</v>
      </c>
      <c r="B238" s="234" t="s">
        <v>258</v>
      </c>
      <c r="C238" s="234" t="s">
        <v>278</v>
      </c>
      <c r="D238" s="235" t="s">
        <v>1193</v>
      </c>
      <c r="E238" s="236"/>
      <c r="F238" s="236"/>
      <c r="G238" s="236"/>
      <c r="H238" s="236"/>
      <c r="I238" s="236"/>
      <c r="J238" s="236"/>
      <c r="K238" s="235"/>
      <c r="L238" s="235"/>
      <c r="M238" s="235"/>
      <c r="N238" s="236"/>
      <c r="O238" s="236"/>
      <c r="P238" s="236"/>
      <c r="Q238" s="236"/>
      <c r="R238" s="236"/>
      <c r="S238" s="235"/>
      <c r="T238" s="235"/>
      <c r="U238" s="235"/>
      <c r="V238" s="236"/>
      <c r="W238" s="236" t="s">
        <v>1194</v>
      </c>
      <c r="X238" s="229">
        <f t="shared" si="3"/>
        <v>1</v>
      </c>
    </row>
    <row r="239" spans="1:24">
      <c r="A239" s="233">
        <v>237</v>
      </c>
      <c r="B239" s="234" t="s">
        <v>258</v>
      </c>
      <c r="C239" s="234" t="s">
        <v>284</v>
      </c>
      <c r="D239" s="235" t="s">
        <v>1193</v>
      </c>
      <c r="E239" s="236"/>
      <c r="F239" s="236"/>
      <c r="G239" s="236"/>
      <c r="H239" s="236"/>
      <c r="I239" s="236"/>
      <c r="J239" s="236"/>
      <c r="K239" s="235"/>
      <c r="L239" s="235"/>
      <c r="M239" s="235"/>
      <c r="N239" s="236"/>
      <c r="O239" s="236"/>
      <c r="P239" s="236"/>
      <c r="Q239" s="236"/>
      <c r="R239" s="236"/>
      <c r="S239" s="235"/>
      <c r="T239" s="235"/>
      <c r="U239" s="235"/>
      <c r="V239" s="236"/>
      <c r="W239" s="236" t="s">
        <v>1194</v>
      </c>
      <c r="X239" s="229">
        <f t="shared" si="3"/>
        <v>1</v>
      </c>
    </row>
    <row r="240" spans="1:24">
      <c r="A240" s="233">
        <v>238</v>
      </c>
      <c r="B240" s="234" t="s">
        <v>258</v>
      </c>
      <c r="C240" s="234" t="s">
        <v>281</v>
      </c>
      <c r="D240" s="235" t="s">
        <v>1193</v>
      </c>
      <c r="E240" s="236"/>
      <c r="F240" s="236"/>
      <c r="G240" s="236"/>
      <c r="H240" s="236"/>
      <c r="I240" s="236"/>
      <c r="J240" s="236"/>
      <c r="K240" s="235"/>
      <c r="L240" s="235"/>
      <c r="M240" s="235"/>
      <c r="N240" s="236"/>
      <c r="O240" s="236"/>
      <c r="P240" s="236"/>
      <c r="Q240" s="236"/>
      <c r="R240" s="236"/>
      <c r="S240" s="235"/>
      <c r="T240" s="235"/>
      <c r="U240" s="235"/>
      <c r="V240" s="236"/>
      <c r="W240" s="236" t="s">
        <v>1194</v>
      </c>
      <c r="X240" s="229">
        <f t="shared" si="3"/>
        <v>1</v>
      </c>
    </row>
    <row r="241" spans="1:24">
      <c r="A241" s="233">
        <v>239</v>
      </c>
      <c r="B241" s="234" t="s">
        <v>258</v>
      </c>
      <c r="C241" s="234" t="s">
        <v>283</v>
      </c>
      <c r="D241" s="235" t="s">
        <v>1193</v>
      </c>
      <c r="E241" s="236"/>
      <c r="F241" s="236" t="s">
        <v>1194</v>
      </c>
      <c r="G241" s="236"/>
      <c r="H241" s="236"/>
      <c r="I241" s="236"/>
      <c r="J241" s="236"/>
      <c r="K241" s="235"/>
      <c r="L241" s="235"/>
      <c r="M241" s="235"/>
      <c r="N241" s="236"/>
      <c r="O241" s="236"/>
      <c r="P241" s="236"/>
      <c r="Q241" s="236"/>
      <c r="R241" s="236"/>
      <c r="S241" s="235"/>
      <c r="T241" s="235"/>
      <c r="U241" s="235"/>
      <c r="V241" s="236"/>
      <c r="W241" s="236" t="s">
        <v>1194</v>
      </c>
      <c r="X241" s="229">
        <f t="shared" si="3"/>
        <v>2</v>
      </c>
    </row>
    <row r="242" spans="1:24">
      <c r="A242" s="233">
        <v>240</v>
      </c>
      <c r="B242" s="234" t="s">
        <v>258</v>
      </c>
      <c r="C242" s="234" t="s">
        <v>273</v>
      </c>
      <c r="D242" s="235" t="s">
        <v>1193</v>
      </c>
      <c r="E242" s="236"/>
      <c r="F242" s="236"/>
      <c r="G242" s="236"/>
      <c r="H242" s="236"/>
      <c r="I242" s="236"/>
      <c r="J242" s="236"/>
      <c r="K242" s="235"/>
      <c r="L242" s="235"/>
      <c r="M242" s="235"/>
      <c r="N242" s="236"/>
      <c r="O242" s="236"/>
      <c r="P242" s="236"/>
      <c r="Q242" s="236"/>
      <c r="R242" s="236"/>
      <c r="S242" s="235"/>
      <c r="T242" s="235"/>
      <c r="U242" s="235"/>
      <c r="V242" s="236"/>
      <c r="W242" s="236" t="s">
        <v>1194</v>
      </c>
      <c r="X242" s="229">
        <f t="shared" si="3"/>
        <v>1</v>
      </c>
    </row>
    <row r="243" spans="1:24">
      <c r="A243" s="233">
        <v>241</v>
      </c>
      <c r="B243" s="234" t="s">
        <v>639</v>
      </c>
      <c r="C243" s="234" t="s">
        <v>631</v>
      </c>
      <c r="D243" s="235" t="s">
        <v>1192</v>
      </c>
      <c r="E243" s="236"/>
      <c r="F243" s="236"/>
      <c r="G243" s="236"/>
      <c r="H243" s="236"/>
      <c r="I243" s="236" t="s">
        <v>1194</v>
      </c>
      <c r="J243" s="236"/>
      <c r="K243" s="235"/>
      <c r="L243" s="235"/>
      <c r="M243" s="235"/>
      <c r="N243" s="236"/>
      <c r="O243" s="236"/>
      <c r="P243" s="236"/>
      <c r="Q243" s="236"/>
      <c r="R243" s="236"/>
      <c r="S243" s="235"/>
      <c r="T243" s="235"/>
      <c r="U243" s="235"/>
      <c r="V243" s="236"/>
      <c r="W243" s="236"/>
      <c r="X243" s="229">
        <f t="shared" si="3"/>
        <v>1</v>
      </c>
    </row>
    <row r="244" spans="1:24">
      <c r="A244" s="233">
        <v>242</v>
      </c>
      <c r="B244" s="234" t="s">
        <v>678</v>
      </c>
      <c r="C244" s="234" t="s">
        <v>764</v>
      </c>
      <c r="D244" s="235" t="s">
        <v>1193</v>
      </c>
      <c r="E244" s="236"/>
      <c r="F244" s="236"/>
      <c r="G244" s="236"/>
      <c r="H244" s="236"/>
      <c r="I244" s="236"/>
      <c r="J244" s="236"/>
      <c r="K244" s="235"/>
      <c r="L244" s="235"/>
      <c r="M244" s="235"/>
      <c r="N244" s="236"/>
      <c r="O244" s="236" t="s">
        <v>1194</v>
      </c>
      <c r="P244" s="236" t="s">
        <v>1194</v>
      </c>
      <c r="Q244" s="236"/>
      <c r="R244" s="236"/>
      <c r="S244" s="235"/>
      <c r="T244" s="235"/>
      <c r="U244" s="235"/>
      <c r="V244" s="236"/>
      <c r="W244" s="236"/>
      <c r="X244" s="229">
        <f t="shared" si="3"/>
        <v>2</v>
      </c>
    </row>
    <row r="245" spans="1:24">
      <c r="A245" s="233">
        <v>243</v>
      </c>
      <c r="B245" s="234" t="s">
        <v>678</v>
      </c>
      <c r="C245" s="234" t="s">
        <v>719</v>
      </c>
      <c r="D245" s="235" t="s">
        <v>1192</v>
      </c>
      <c r="E245" s="236"/>
      <c r="F245" s="236"/>
      <c r="G245" s="236"/>
      <c r="H245" s="236"/>
      <c r="I245" s="236"/>
      <c r="J245" s="236"/>
      <c r="K245" s="235"/>
      <c r="L245" s="235"/>
      <c r="M245" s="235"/>
      <c r="N245" s="236"/>
      <c r="O245" s="236"/>
      <c r="P245" s="236" t="s">
        <v>1194</v>
      </c>
      <c r="Q245" s="236"/>
      <c r="R245" s="236" t="s">
        <v>1194</v>
      </c>
      <c r="S245" s="235"/>
      <c r="T245" s="235"/>
      <c r="U245" s="235"/>
      <c r="V245" s="236"/>
      <c r="W245" s="236"/>
      <c r="X245" s="229">
        <f t="shared" si="3"/>
        <v>2</v>
      </c>
    </row>
    <row r="246" spans="1:24">
      <c r="A246" s="233">
        <v>244</v>
      </c>
      <c r="B246" s="234" t="s">
        <v>678</v>
      </c>
      <c r="C246" s="234" t="s">
        <v>677</v>
      </c>
      <c r="D246" s="235" t="s">
        <v>1193</v>
      </c>
      <c r="E246" s="236" t="s">
        <v>1194</v>
      </c>
      <c r="F246" s="236"/>
      <c r="G246" s="236"/>
      <c r="H246" s="236"/>
      <c r="I246" s="236"/>
      <c r="J246" s="236"/>
      <c r="K246" s="235"/>
      <c r="L246" s="235"/>
      <c r="M246" s="235"/>
      <c r="N246" s="236"/>
      <c r="O246" s="236"/>
      <c r="P246" s="236"/>
      <c r="Q246" s="236"/>
      <c r="R246" s="236"/>
      <c r="S246" s="235"/>
      <c r="T246" s="235"/>
      <c r="U246" s="235"/>
      <c r="V246" s="236"/>
      <c r="W246" s="236"/>
      <c r="X246" s="229">
        <f t="shared" si="3"/>
        <v>1</v>
      </c>
    </row>
    <row r="247" spans="1:24">
      <c r="A247" s="233">
        <v>245</v>
      </c>
      <c r="B247" s="234" t="s">
        <v>678</v>
      </c>
      <c r="C247" s="234" t="s">
        <v>788</v>
      </c>
      <c r="D247" s="235" t="s">
        <v>1193</v>
      </c>
      <c r="E247" s="236"/>
      <c r="F247" s="236"/>
      <c r="G247" s="236"/>
      <c r="H247" s="236"/>
      <c r="I247" s="236"/>
      <c r="J247" s="236"/>
      <c r="K247" s="235"/>
      <c r="L247" s="235"/>
      <c r="M247" s="235"/>
      <c r="N247" s="236" t="s">
        <v>1194</v>
      </c>
      <c r="O247" s="236" t="s">
        <v>1194</v>
      </c>
      <c r="P247" s="236"/>
      <c r="Q247" s="236"/>
      <c r="R247" s="236"/>
      <c r="S247" s="235"/>
      <c r="T247" s="235"/>
      <c r="U247" s="235"/>
      <c r="V247" s="236"/>
      <c r="W247" s="236"/>
      <c r="X247" s="229">
        <f t="shared" si="3"/>
        <v>2</v>
      </c>
    </row>
    <row r="248" spans="1:24">
      <c r="A248" s="233">
        <v>246</v>
      </c>
      <c r="B248" s="234" t="s">
        <v>678</v>
      </c>
      <c r="C248" s="234" t="s">
        <v>722</v>
      </c>
      <c r="D248" s="235" t="s">
        <v>1192</v>
      </c>
      <c r="E248" s="236"/>
      <c r="F248" s="236"/>
      <c r="G248" s="236"/>
      <c r="H248" s="236"/>
      <c r="I248" s="236"/>
      <c r="J248" s="236"/>
      <c r="K248" s="235"/>
      <c r="L248" s="235"/>
      <c r="M248" s="235"/>
      <c r="N248" s="236"/>
      <c r="O248" s="236"/>
      <c r="P248" s="236"/>
      <c r="Q248" s="236"/>
      <c r="R248" s="236" t="s">
        <v>1194</v>
      </c>
      <c r="S248" s="235"/>
      <c r="T248" s="235"/>
      <c r="U248" s="235"/>
      <c r="V248" s="236"/>
      <c r="W248" s="236"/>
      <c r="X248" s="229">
        <f t="shared" si="3"/>
        <v>1</v>
      </c>
    </row>
    <row r="249" spans="1:24">
      <c r="A249" s="233">
        <v>247</v>
      </c>
      <c r="B249" s="234" t="s">
        <v>509</v>
      </c>
      <c r="C249" s="234" t="s">
        <v>637</v>
      </c>
      <c r="D249" s="235" t="s">
        <v>1192</v>
      </c>
      <c r="E249" s="236"/>
      <c r="F249" s="236"/>
      <c r="G249" s="236"/>
      <c r="H249" s="236"/>
      <c r="I249" s="236" t="s">
        <v>1194</v>
      </c>
      <c r="J249" s="236"/>
      <c r="K249" s="235"/>
      <c r="L249" s="235"/>
      <c r="M249" s="235"/>
      <c r="N249" s="236"/>
      <c r="O249" s="236"/>
      <c r="P249" s="236"/>
      <c r="Q249" s="236"/>
      <c r="R249" s="236"/>
      <c r="S249" s="235"/>
      <c r="T249" s="235"/>
      <c r="U249" s="235"/>
      <c r="V249" s="236"/>
      <c r="W249" s="236"/>
      <c r="X249" s="229">
        <f t="shared" si="3"/>
        <v>1</v>
      </c>
    </row>
    <row r="250" spans="1:24">
      <c r="A250" s="233">
        <v>248</v>
      </c>
      <c r="B250" s="234" t="s">
        <v>509</v>
      </c>
      <c r="C250" s="234" t="s">
        <v>508</v>
      </c>
      <c r="D250" s="235" t="s">
        <v>1193</v>
      </c>
      <c r="E250" s="236"/>
      <c r="F250" s="236"/>
      <c r="G250" s="236"/>
      <c r="H250" s="236"/>
      <c r="I250" s="236"/>
      <c r="J250" s="236"/>
      <c r="K250" s="235"/>
      <c r="L250" s="235"/>
      <c r="M250" s="235"/>
      <c r="N250" s="236"/>
      <c r="O250" s="236"/>
      <c r="P250" s="236"/>
      <c r="Q250" s="236"/>
      <c r="R250" s="236"/>
      <c r="S250" s="235" t="s">
        <v>1194</v>
      </c>
      <c r="T250" s="235"/>
      <c r="U250" s="235"/>
      <c r="V250" s="236"/>
      <c r="W250" s="236"/>
      <c r="X250" s="229">
        <f t="shared" si="3"/>
        <v>1</v>
      </c>
    </row>
    <row r="251" spans="1:24">
      <c r="A251" s="233">
        <v>249</v>
      </c>
      <c r="B251" s="234" t="s">
        <v>509</v>
      </c>
      <c r="C251" s="234" t="s">
        <v>619</v>
      </c>
      <c r="D251" s="235" t="s">
        <v>1192</v>
      </c>
      <c r="E251" s="236"/>
      <c r="F251" s="236"/>
      <c r="G251" s="236"/>
      <c r="H251" s="236"/>
      <c r="I251" s="236" t="s">
        <v>1194</v>
      </c>
      <c r="J251" s="236"/>
      <c r="K251" s="235"/>
      <c r="L251" s="235"/>
      <c r="M251" s="235"/>
      <c r="N251" s="236"/>
      <c r="O251" s="236"/>
      <c r="P251" s="236"/>
      <c r="Q251" s="236"/>
      <c r="R251" s="236"/>
      <c r="S251" s="235"/>
      <c r="T251" s="235"/>
      <c r="U251" s="235"/>
      <c r="V251" s="236"/>
      <c r="W251" s="236"/>
      <c r="X251" s="229">
        <f t="shared" si="3"/>
        <v>1</v>
      </c>
    </row>
    <row r="252" spans="1:24">
      <c r="A252" s="233">
        <v>250</v>
      </c>
      <c r="B252" s="234" t="s">
        <v>509</v>
      </c>
      <c r="C252" s="234" t="s">
        <v>794</v>
      </c>
      <c r="D252" s="235" t="s">
        <v>1193</v>
      </c>
      <c r="E252" s="236"/>
      <c r="F252" s="236"/>
      <c r="G252" s="236"/>
      <c r="H252" s="236"/>
      <c r="I252" s="236"/>
      <c r="J252" s="236"/>
      <c r="K252" s="235"/>
      <c r="L252" s="235"/>
      <c r="M252" s="235"/>
      <c r="N252" s="236"/>
      <c r="O252" s="236" t="s">
        <v>1194</v>
      </c>
      <c r="P252" s="236"/>
      <c r="Q252" s="236"/>
      <c r="R252" s="236"/>
      <c r="S252" s="235"/>
      <c r="T252" s="235"/>
      <c r="U252" s="235"/>
      <c r="V252" s="236"/>
      <c r="W252" s="236"/>
      <c r="X252" s="229">
        <f t="shared" si="3"/>
        <v>1</v>
      </c>
    </row>
    <row r="253" spans="1:24">
      <c r="A253" s="233">
        <v>251</v>
      </c>
      <c r="B253" s="234" t="s">
        <v>509</v>
      </c>
      <c r="C253" s="234" t="s">
        <v>853</v>
      </c>
      <c r="D253" s="235" t="s">
        <v>1192</v>
      </c>
      <c r="E253" s="236"/>
      <c r="F253" s="236"/>
      <c r="G253" s="236"/>
      <c r="H253" s="236"/>
      <c r="I253" s="236"/>
      <c r="J253" s="236"/>
      <c r="K253" s="235"/>
      <c r="L253" s="235"/>
      <c r="M253" s="235" t="s">
        <v>1194</v>
      </c>
      <c r="N253" s="236"/>
      <c r="O253" s="236"/>
      <c r="P253" s="236"/>
      <c r="Q253" s="236"/>
      <c r="R253" s="236"/>
      <c r="S253" s="235"/>
      <c r="T253" s="235"/>
      <c r="U253" s="235"/>
      <c r="V253" s="236"/>
      <c r="W253" s="236"/>
      <c r="X253" s="229">
        <f t="shared" si="3"/>
        <v>1</v>
      </c>
    </row>
    <row r="254" spans="1:24">
      <c r="A254" s="233">
        <v>252</v>
      </c>
      <c r="B254" s="234" t="s">
        <v>509</v>
      </c>
      <c r="C254" s="234" t="s">
        <v>850</v>
      </c>
      <c r="D254" s="235" t="s">
        <v>1192</v>
      </c>
      <c r="E254" s="236"/>
      <c r="F254" s="236"/>
      <c r="G254" s="236"/>
      <c r="H254" s="236"/>
      <c r="I254" s="236"/>
      <c r="J254" s="236"/>
      <c r="K254" s="235"/>
      <c r="L254" s="235"/>
      <c r="M254" s="235" t="s">
        <v>1194</v>
      </c>
      <c r="N254" s="236"/>
      <c r="O254" s="236"/>
      <c r="P254" s="236"/>
      <c r="Q254" s="236"/>
      <c r="R254" s="236"/>
      <c r="S254" s="235"/>
      <c r="T254" s="235"/>
      <c r="U254" s="235"/>
      <c r="V254" s="236"/>
      <c r="W254" s="236"/>
      <c r="X254" s="229">
        <f t="shared" si="3"/>
        <v>1</v>
      </c>
    </row>
    <row r="255" spans="1:24">
      <c r="A255" s="233">
        <v>253</v>
      </c>
      <c r="B255" s="234" t="s">
        <v>509</v>
      </c>
      <c r="C255" s="234" t="s">
        <v>544</v>
      </c>
      <c r="D255" s="235" t="s">
        <v>1192</v>
      </c>
      <c r="E255" s="236"/>
      <c r="F255" s="236"/>
      <c r="G255" s="236" t="s">
        <v>1194</v>
      </c>
      <c r="H255" s="236"/>
      <c r="I255" s="236"/>
      <c r="J255" s="236"/>
      <c r="K255" s="235"/>
      <c r="L255" s="235"/>
      <c r="M255" s="235"/>
      <c r="N255" s="236"/>
      <c r="O255" s="236"/>
      <c r="P255" s="236"/>
      <c r="Q255" s="236"/>
      <c r="R255" s="236"/>
      <c r="S255" s="235"/>
      <c r="T255" s="235"/>
      <c r="U255" s="235"/>
      <c r="V255" s="236"/>
      <c r="W255" s="236"/>
      <c r="X255" s="229">
        <f t="shared" si="3"/>
        <v>1</v>
      </c>
    </row>
    <row r="256" spans="1:24">
      <c r="A256" s="233">
        <v>254</v>
      </c>
      <c r="B256" s="234" t="s">
        <v>509</v>
      </c>
      <c r="C256" s="234" t="s">
        <v>790</v>
      </c>
      <c r="D256" s="235" t="s">
        <v>1193</v>
      </c>
      <c r="E256" s="236"/>
      <c r="F256" s="236"/>
      <c r="G256" s="236"/>
      <c r="H256" s="236"/>
      <c r="I256" s="236"/>
      <c r="J256" s="236"/>
      <c r="K256" s="235"/>
      <c r="L256" s="235"/>
      <c r="M256" s="235"/>
      <c r="N256" s="236"/>
      <c r="O256" s="236" t="s">
        <v>1194</v>
      </c>
      <c r="P256" s="236"/>
      <c r="Q256" s="236"/>
      <c r="R256" s="236"/>
      <c r="S256" s="235"/>
      <c r="T256" s="235"/>
      <c r="U256" s="235"/>
      <c r="V256" s="236"/>
      <c r="W256" s="236"/>
      <c r="X256" s="229">
        <f t="shared" si="3"/>
        <v>1</v>
      </c>
    </row>
    <row r="257" spans="1:24">
      <c r="A257" s="233">
        <v>255</v>
      </c>
      <c r="B257" s="234" t="s">
        <v>643</v>
      </c>
      <c r="C257" s="234" t="s">
        <v>612</v>
      </c>
      <c r="D257" s="235" t="s">
        <v>1192</v>
      </c>
      <c r="E257" s="236"/>
      <c r="F257" s="236"/>
      <c r="G257" s="236"/>
      <c r="H257" s="236"/>
      <c r="I257" s="236" t="s">
        <v>1194</v>
      </c>
      <c r="J257" s="236"/>
      <c r="K257" s="235"/>
      <c r="L257" s="235"/>
      <c r="M257" s="235"/>
      <c r="N257" s="236"/>
      <c r="O257" s="236"/>
      <c r="P257" s="236"/>
      <c r="Q257" s="236"/>
      <c r="R257" s="236" t="s">
        <v>1194</v>
      </c>
      <c r="S257" s="235"/>
      <c r="T257" s="235"/>
      <c r="U257" s="235"/>
      <c r="V257" s="236"/>
      <c r="W257" s="236"/>
      <c r="X257" s="229">
        <f t="shared" si="3"/>
        <v>2</v>
      </c>
    </row>
    <row r="258" spans="1:24">
      <c r="A258" s="233">
        <v>256</v>
      </c>
      <c r="B258" s="234" t="s">
        <v>643</v>
      </c>
      <c r="C258" s="234" t="s">
        <v>724</v>
      </c>
      <c r="D258" s="235" t="s">
        <v>1192</v>
      </c>
      <c r="E258" s="236"/>
      <c r="F258" s="236"/>
      <c r="G258" s="236"/>
      <c r="H258" s="236"/>
      <c r="I258" s="236"/>
      <c r="J258" s="236"/>
      <c r="K258" s="235"/>
      <c r="L258" s="235"/>
      <c r="M258" s="235"/>
      <c r="N258" s="236"/>
      <c r="O258" s="236"/>
      <c r="P258" s="236"/>
      <c r="Q258" s="236"/>
      <c r="R258" s="236" t="s">
        <v>1194</v>
      </c>
      <c r="S258" s="235"/>
      <c r="T258" s="235"/>
      <c r="U258" s="235"/>
      <c r="V258" s="236"/>
      <c r="W258" s="236"/>
      <c r="X258" s="229">
        <f t="shared" si="3"/>
        <v>1</v>
      </c>
    </row>
    <row r="259" spans="1:24">
      <c r="A259" s="233">
        <v>257</v>
      </c>
      <c r="B259" s="234" t="s">
        <v>643</v>
      </c>
      <c r="C259" s="234" t="s">
        <v>750</v>
      </c>
      <c r="D259" s="235" t="s">
        <v>1193</v>
      </c>
      <c r="E259" s="236"/>
      <c r="F259" s="236"/>
      <c r="G259" s="236"/>
      <c r="H259" s="236"/>
      <c r="I259" s="236"/>
      <c r="J259" s="236"/>
      <c r="K259" s="235"/>
      <c r="L259" s="235" t="s">
        <v>1194</v>
      </c>
      <c r="M259" s="235"/>
      <c r="N259" s="236"/>
      <c r="O259" s="236" t="s">
        <v>1194</v>
      </c>
      <c r="P259" s="236"/>
      <c r="Q259" s="236"/>
      <c r="R259" s="236"/>
      <c r="S259" s="235"/>
      <c r="T259" s="235"/>
      <c r="U259" s="235"/>
      <c r="V259" s="236"/>
      <c r="W259" s="236"/>
      <c r="X259" s="229">
        <f t="shared" si="3"/>
        <v>2</v>
      </c>
    </row>
    <row r="260" spans="1:24">
      <c r="A260" s="233">
        <v>258</v>
      </c>
      <c r="B260" s="234" t="s">
        <v>643</v>
      </c>
      <c r="C260" s="234" t="s">
        <v>755</v>
      </c>
      <c r="D260" s="235" t="s">
        <v>1192</v>
      </c>
      <c r="E260" s="236"/>
      <c r="F260" s="236"/>
      <c r="G260" s="236"/>
      <c r="H260" s="236"/>
      <c r="I260" s="236"/>
      <c r="J260" s="236"/>
      <c r="K260" s="235"/>
      <c r="L260" s="235" t="s">
        <v>1194</v>
      </c>
      <c r="M260" s="235"/>
      <c r="N260" s="236"/>
      <c r="O260" s="236"/>
      <c r="P260" s="236"/>
      <c r="Q260" s="236"/>
      <c r="R260" s="236"/>
      <c r="S260" s="235"/>
      <c r="T260" s="235"/>
      <c r="U260" s="235"/>
      <c r="V260" s="236"/>
      <c r="W260" s="236"/>
      <c r="X260" s="229">
        <f t="shared" ref="X260:X323" si="4">COUNTIF(E260:W260,"x")</f>
        <v>1</v>
      </c>
    </row>
    <row r="261" spans="1:24">
      <c r="A261" s="233">
        <v>259</v>
      </c>
      <c r="B261" s="234" t="s">
        <v>643</v>
      </c>
      <c r="C261" s="234" t="s">
        <v>799</v>
      </c>
      <c r="D261" s="235" t="s">
        <v>1193</v>
      </c>
      <c r="E261" s="236"/>
      <c r="F261" s="236"/>
      <c r="G261" s="236"/>
      <c r="H261" s="236"/>
      <c r="I261" s="236"/>
      <c r="J261" s="236"/>
      <c r="K261" s="235"/>
      <c r="L261" s="235"/>
      <c r="M261" s="235"/>
      <c r="N261" s="236"/>
      <c r="O261" s="236" t="s">
        <v>1194</v>
      </c>
      <c r="P261" s="236"/>
      <c r="Q261" s="236"/>
      <c r="R261" s="236"/>
      <c r="S261" s="235"/>
      <c r="T261" s="235"/>
      <c r="U261" s="235"/>
      <c r="V261" s="236"/>
      <c r="W261" s="236"/>
      <c r="X261" s="229">
        <f t="shared" si="4"/>
        <v>1</v>
      </c>
    </row>
    <row r="262" spans="1:24">
      <c r="A262" s="233">
        <v>260</v>
      </c>
      <c r="B262" s="234" t="s">
        <v>300</v>
      </c>
      <c r="C262" s="234" t="s">
        <v>318</v>
      </c>
      <c r="D262" s="235" t="s">
        <v>1193</v>
      </c>
      <c r="E262" s="236"/>
      <c r="F262" s="236"/>
      <c r="G262" s="236"/>
      <c r="H262" s="236"/>
      <c r="I262" s="236"/>
      <c r="J262" s="236"/>
      <c r="K262" s="235"/>
      <c r="L262" s="235"/>
      <c r="M262" s="235"/>
      <c r="N262" s="236"/>
      <c r="O262" s="236"/>
      <c r="P262" s="236"/>
      <c r="Q262" s="236"/>
      <c r="R262" s="236"/>
      <c r="S262" s="235"/>
      <c r="T262" s="235"/>
      <c r="U262" s="235"/>
      <c r="V262" s="236"/>
      <c r="W262" s="236" t="s">
        <v>1194</v>
      </c>
      <c r="X262" s="229">
        <f t="shared" si="4"/>
        <v>1</v>
      </c>
    </row>
    <row r="263" spans="1:24">
      <c r="A263" s="233">
        <v>261</v>
      </c>
      <c r="B263" s="234" t="s">
        <v>300</v>
      </c>
      <c r="C263" s="234" t="s">
        <v>336</v>
      </c>
      <c r="D263" s="235" t="s">
        <v>1193</v>
      </c>
      <c r="E263" s="236"/>
      <c r="F263" s="236"/>
      <c r="G263" s="236"/>
      <c r="H263" s="236"/>
      <c r="I263" s="236"/>
      <c r="J263" s="236"/>
      <c r="K263" s="235"/>
      <c r="L263" s="235"/>
      <c r="M263" s="235"/>
      <c r="N263" s="236"/>
      <c r="O263" s="236"/>
      <c r="P263" s="236"/>
      <c r="Q263" s="236"/>
      <c r="R263" s="236"/>
      <c r="S263" s="235"/>
      <c r="T263" s="235"/>
      <c r="U263" s="235"/>
      <c r="V263" s="236"/>
      <c r="W263" s="236" t="s">
        <v>1194</v>
      </c>
      <c r="X263" s="229">
        <f t="shared" si="4"/>
        <v>1</v>
      </c>
    </row>
    <row r="264" spans="1:24">
      <c r="A264" s="233">
        <v>262</v>
      </c>
      <c r="B264" s="234" t="s">
        <v>300</v>
      </c>
      <c r="C264" s="234" t="s">
        <v>340</v>
      </c>
      <c r="D264" s="235" t="s">
        <v>1193</v>
      </c>
      <c r="E264" s="236"/>
      <c r="F264" s="236"/>
      <c r="G264" s="236"/>
      <c r="H264" s="236"/>
      <c r="I264" s="236"/>
      <c r="J264" s="236"/>
      <c r="K264" s="235"/>
      <c r="L264" s="235"/>
      <c r="M264" s="235"/>
      <c r="N264" s="236"/>
      <c r="O264" s="236"/>
      <c r="P264" s="236"/>
      <c r="Q264" s="236"/>
      <c r="R264" s="236"/>
      <c r="S264" s="235"/>
      <c r="T264" s="235"/>
      <c r="U264" s="235"/>
      <c r="V264" s="236"/>
      <c r="W264" s="236" t="s">
        <v>1194</v>
      </c>
      <c r="X264" s="229">
        <f t="shared" si="4"/>
        <v>1</v>
      </c>
    </row>
    <row r="265" spans="1:24">
      <c r="A265" s="233">
        <v>263</v>
      </c>
      <c r="B265" s="234" t="s">
        <v>300</v>
      </c>
      <c r="C265" s="234" t="s">
        <v>298</v>
      </c>
      <c r="D265" s="235" t="s">
        <v>1193</v>
      </c>
      <c r="E265" s="236"/>
      <c r="F265" s="236"/>
      <c r="G265" s="236"/>
      <c r="H265" s="236"/>
      <c r="I265" s="236"/>
      <c r="J265" s="236"/>
      <c r="K265" s="235"/>
      <c r="L265" s="235"/>
      <c r="M265" s="235"/>
      <c r="N265" s="236"/>
      <c r="O265" s="236"/>
      <c r="P265" s="236"/>
      <c r="Q265" s="236"/>
      <c r="R265" s="236"/>
      <c r="S265" s="235"/>
      <c r="T265" s="235"/>
      <c r="U265" s="235"/>
      <c r="V265" s="236"/>
      <c r="W265" s="236" t="s">
        <v>1194</v>
      </c>
      <c r="X265" s="229">
        <f t="shared" si="4"/>
        <v>1</v>
      </c>
    </row>
    <row r="266" spans="1:24">
      <c r="A266" s="233">
        <v>264</v>
      </c>
      <c r="B266" s="234" t="s">
        <v>300</v>
      </c>
      <c r="C266" s="234" t="s">
        <v>334</v>
      </c>
      <c r="D266" s="235" t="s">
        <v>1193</v>
      </c>
      <c r="E266" s="236"/>
      <c r="F266" s="236"/>
      <c r="G266" s="236"/>
      <c r="H266" s="236"/>
      <c r="I266" s="236"/>
      <c r="J266" s="236"/>
      <c r="K266" s="235"/>
      <c r="L266" s="235"/>
      <c r="M266" s="235"/>
      <c r="N266" s="236"/>
      <c r="O266" s="236"/>
      <c r="P266" s="236"/>
      <c r="Q266" s="236"/>
      <c r="R266" s="236"/>
      <c r="S266" s="235"/>
      <c r="T266" s="235"/>
      <c r="U266" s="235"/>
      <c r="V266" s="236"/>
      <c r="W266" s="236" t="s">
        <v>1194</v>
      </c>
      <c r="X266" s="229">
        <f t="shared" si="4"/>
        <v>1</v>
      </c>
    </row>
    <row r="267" spans="1:24">
      <c r="A267" s="233">
        <v>265</v>
      </c>
      <c r="B267" s="234" t="s">
        <v>300</v>
      </c>
      <c r="C267" s="234" t="s">
        <v>330</v>
      </c>
      <c r="D267" s="235" t="s">
        <v>1193</v>
      </c>
      <c r="E267" s="236"/>
      <c r="F267" s="236"/>
      <c r="G267" s="236"/>
      <c r="H267" s="236"/>
      <c r="I267" s="236"/>
      <c r="J267" s="236"/>
      <c r="K267" s="235"/>
      <c r="L267" s="235"/>
      <c r="M267" s="235"/>
      <c r="N267" s="236"/>
      <c r="O267" s="236"/>
      <c r="P267" s="236"/>
      <c r="Q267" s="236"/>
      <c r="R267" s="236"/>
      <c r="S267" s="235"/>
      <c r="T267" s="235"/>
      <c r="U267" s="235"/>
      <c r="V267" s="236"/>
      <c r="W267" s="236" t="s">
        <v>1194</v>
      </c>
      <c r="X267" s="229">
        <f t="shared" si="4"/>
        <v>1</v>
      </c>
    </row>
    <row r="268" spans="1:24">
      <c r="A268" s="233">
        <v>266</v>
      </c>
      <c r="B268" s="234" t="s">
        <v>300</v>
      </c>
      <c r="C268" s="234" t="s">
        <v>305</v>
      </c>
      <c r="D268" s="235" t="s">
        <v>1193</v>
      </c>
      <c r="E268" s="236"/>
      <c r="F268" s="236"/>
      <c r="G268" s="236"/>
      <c r="H268" s="236"/>
      <c r="I268" s="236"/>
      <c r="J268" s="236"/>
      <c r="K268" s="235"/>
      <c r="L268" s="235"/>
      <c r="M268" s="235"/>
      <c r="N268" s="236"/>
      <c r="O268" s="236"/>
      <c r="P268" s="236"/>
      <c r="Q268" s="236"/>
      <c r="R268" s="236"/>
      <c r="S268" s="235"/>
      <c r="T268" s="235"/>
      <c r="U268" s="235"/>
      <c r="V268" s="236"/>
      <c r="W268" s="236" t="s">
        <v>1194</v>
      </c>
      <c r="X268" s="229">
        <f t="shared" si="4"/>
        <v>1</v>
      </c>
    </row>
    <row r="269" spans="1:24">
      <c r="A269" s="233">
        <v>267</v>
      </c>
      <c r="B269" s="234" t="s">
        <v>300</v>
      </c>
      <c r="C269" s="234" t="s">
        <v>327</v>
      </c>
      <c r="D269" s="235" t="s">
        <v>1193</v>
      </c>
      <c r="E269" s="236"/>
      <c r="F269" s="236"/>
      <c r="G269" s="236"/>
      <c r="H269" s="236"/>
      <c r="I269" s="236"/>
      <c r="J269" s="236"/>
      <c r="K269" s="235"/>
      <c r="L269" s="235"/>
      <c r="M269" s="235"/>
      <c r="N269" s="236"/>
      <c r="O269" s="236"/>
      <c r="P269" s="236"/>
      <c r="Q269" s="236"/>
      <c r="R269" s="236"/>
      <c r="S269" s="235"/>
      <c r="T269" s="235"/>
      <c r="U269" s="235"/>
      <c r="V269" s="236"/>
      <c r="W269" s="236" t="s">
        <v>1194</v>
      </c>
      <c r="X269" s="229">
        <f t="shared" si="4"/>
        <v>1</v>
      </c>
    </row>
    <row r="270" spans="1:24">
      <c r="A270" s="233">
        <v>268</v>
      </c>
      <c r="B270" s="234" t="s">
        <v>300</v>
      </c>
      <c r="C270" s="234" t="s">
        <v>322</v>
      </c>
      <c r="D270" s="235" t="s">
        <v>1193</v>
      </c>
      <c r="E270" s="236"/>
      <c r="F270" s="236"/>
      <c r="G270" s="236"/>
      <c r="H270" s="236"/>
      <c r="I270" s="236"/>
      <c r="J270" s="236"/>
      <c r="K270" s="235"/>
      <c r="L270" s="235"/>
      <c r="M270" s="235"/>
      <c r="N270" s="236"/>
      <c r="O270" s="236"/>
      <c r="P270" s="236"/>
      <c r="Q270" s="236"/>
      <c r="R270" s="236"/>
      <c r="S270" s="235"/>
      <c r="T270" s="235"/>
      <c r="U270" s="235"/>
      <c r="V270" s="236"/>
      <c r="W270" s="236" t="s">
        <v>1194</v>
      </c>
      <c r="X270" s="229">
        <f t="shared" si="4"/>
        <v>1</v>
      </c>
    </row>
    <row r="271" spans="1:24">
      <c r="A271" s="233">
        <v>269</v>
      </c>
      <c r="B271" s="234" t="s">
        <v>300</v>
      </c>
      <c r="C271" s="234" t="s">
        <v>312</v>
      </c>
      <c r="D271" s="235" t="s">
        <v>1193</v>
      </c>
      <c r="E271" s="236"/>
      <c r="F271" s="236"/>
      <c r="G271" s="236"/>
      <c r="H271" s="236"/>
      <c r="I271" s="236"/>
      <c r="J271" s="236"/>
      <c r="K271" s="235"/>
      <c r="L271" s="235"/>
      <c r="M271" s="235"/>
      <c r="N271" s="236"/>
      <c r="O271" s="236"/>
      <c r="P271" s="236"/>
      <c r="Q271" s="236"/>
      <c r="R271" s="236"/>
      <c r="S271" s="235"/>
      <c r="T271" s="235"/>
      <c r="U271" s="235"/>
      <c r="V271" s="236"/>
      <c r="W271" s="236" t="s">
        <v>1194</v>
      </c>
      <c r="X271" s="229">
        <f t="shared" si="4"/>
        <v>1</v>
      </c>
    </row>
    <row r="272" spans="1:24">
      <c r="A272" s="233">
        <v>270</v>
      </c>
      <c r="B272" s="234" t="s">
        <v>233</v>
      </c>
      <c r="C272" s="234" t="s">
        <v>243</v>
      </c>
      <c r="D272" s="235" t="s">
        <v>1192</v>
      </c>
      <c r="E272" s="236"/>
      <c r="F272" s="236"/>
      <c r="G272" s="236"/>
      <c r="H272" s="236"/>
      <c r="I272" s="236"/>
      <c r="J272" s="236"/>
      <c r="K272" s="235"/>
      <c r="L272" s="235"/>
      <c r="M272" s="235"/>
      <c r="N272" s="236"/>
      <c r="O272" s="236"/>
      <c r="P272" s="236"/>
      <c r="Q272" s="236"/>
      <c r="R272" s="236"/>
      <c r="S272" s="235"/>
      <c r="T272" s="235"/>
      <c r="U272" s="235"/>
      <c r="V272" s="236" t="s">
        <v>1194</v>
      </c>
      <c r="W272" s="236"/>
      <c r="X272" s="229">
        <f t="shared" si="4"/>
        <v>1</v>
      </c>
    </row>
    <row r="273" spans="1:24">
      <c r="A273" s="233">
        <v>271</v>
      </c>
      <c r="B273" s="234" t="s">
        <v>233</v>
      </c>
      <c r="C273" s="234" t="s">
        <v>369</v>
      </c>
      <c r="D273" s="235" t="s">
        <v>1193</v>
      </c>
      <c r="E273" s="236"/>
      <c r="F273" s="236"/>
      <c r="G273" s="236"/>
      <c r="H273" s="236"/>
      <c r="I273" s="236"/>
      <c r="J273" s="236"/>
      <c r="K273" s="235"/>
      <c r="L273" s="235" t="s">
        <v>1194</v>
      </c>
      <c r="M273" s="235"/>
      <c r="N273" s="236"/>
      <c r="O273" s="236"/>
      <c r="P273" s="236"/>
      <c r="Q273" s="236"/>
      <c r="R273" s="236"/>
      <c r="S273" s="235"/>
      <c r="T273" s="235"/>
      <c r="U273" s="235"/>
      <c r="V273" s="236"/>
      <c r="W273" s="236" t="s">
        <v>1194</v>
      </c>
      <c r="X273" s="229">
        <f t="shared" si="4"/>
        <v>2</v>
      </c>
    </row>
    <row r="274" spans="1:24">
      <c r="A274" s="233">
        <v>272</v>
      </c>
      <c r="B274" s="234" t="s">
        <v>233</v>
      </c>
      <c r="C274" s="234" t="s">
        <v>587</v>
      </c>
      <c r="D274" s="235" t="s">
        <v>1192</v>
      </c>
      <c r="E274" s="236"/>
      <c r="F274" s="236"/>
      <c r="G274" s="236"/>
      <c r="H274" s="236" t="s">
        <v>1194</v>
      </c>
      <c r="I274" s="236"/>
      <c r="J274" s="236"/>
      <c r="K274" s="235"/>
      <c r="L274" s="235"/>
      <c r="M274" s="235"/>
      <c r="N274" s="236"/>
      <c r="O274" s="236"/>
      <c r="P274" s="236"/>
      <c r="Q274" s="236"/>
      <c r="R274" s="236"/>
      <c r="S274" s="235"/>
      <c r="T274" s="235"/>
      <c r="U274" s="235"/>
      <c r="V274" s="236"/>
      <c r="W274" s="236"/>
      <c r="X274" s="229">
        <f t="shared" si="4"/>
        <v>1</v>
      </c>
    </row>
    <row r="275" spans="1:24">
      <c r="A275" s="233">
        <v>273</v>
      </c>
      <c r="B275" s="234" t="s">
        <v>233</v>
      </c>
      <c r="C275" s="234" t="s">
        <v>376</v>
      </c>
      <c r="D275" s="235" t="s">
        <v>1193</v>
      </c>
      <c r="E275" s="236"/>
      <c r="F275" s="236"/>
      <c r="G275" s="236"/>
      <c r="H275" s="236"/>
      <c r="I275" s="236"/>
      <c r="J275" s="236"/>
      <c r="K275" s="235"/>
      <c r="L275" s="235"/>
      <c r="M275" s="235"/>
      <c r="N275" s="236"/>
      <c r="O275" s="236"/>
      <c r="P275" s="236"/>
      <c r="Q275" s="236"/>
      <c r="R275" s="236"/>
      <c r="S275" s="235"/>
      <c r="T275" s="235"/>
      <c r="U275" s="235"/>
      <c r="V275" s="236"/>
      <c r="W275" s="236" t="s">
        <v>1194</v>
      </c>
      <c r="X275" s="229">
        <f t="shared" si="4"/>
        <v>1</v>
      </c>
    </row>
    <row r="276" spans="1:24">
      <c r="A276" s="233">
        <v>274</v>
      </c>
      <c r="B276" s="234" t="s">
        <v>233</v>
      </c>
      <c r="C276" s="234" t="s">
        <v>371</v>
      </c>
      <c r="D276" s="235" t="s">
        <v>1193</v>
      </c>
      <c r="E276" s="236"/>
      <c r="F276" s="236"/>
      <c r="G276" s="236"/>
      <c r="H276" s="236"/>
      <c r="I276" s="236"/>
      <c r="J276" s="236"/>
      <c r="K276" s="235"/>
      <c r="L276" s="235"/>
      <c r="M276" s="235"/>
      <c r="N276" s="236"/>
      <c r="O276" s="236"/>
      <c r="P276" s="236"/>
      <c r="Q276" s="236"/>
      <c r="R276" s="236"/>
      <c r="S276" s="235"/>
      <c r="T276" s="235"/>
      <c r="U276" s="235"/>
      <c r="V276" s="236"/>
      <c r="W276" s="236" t="s">
        <v>1194</v>
      </c>
      <c r="X276" s="229">
        <f t="shared" si="4"/>
        <v>1</v>
      </c>
    </row>
    <row r="277" spans="1:24">
      <c r="A277" s="233">
        <v>275</v>
      </c>
      <c r="B277" s="234" t="s">
        <v>233</v>
      </c>
      <c r="C277" s="234" t="s">
        <v>246</v>
      </c>
      <c r="D277" s="235" t="s">
        <v>1192</v>
      </c>
      <c r="E277" s="236"/>
      <c r="F277" s="236"/>
      <c r="G277" s="236"/>
      <c r="H277" s="236"/>
      <c r="I277" s="236"/>
      <c r="J277" s="236"/>
      <c r="K277" s="235"/>
      <c r="L277" s="235"/>
      <c r="M277" s="235"/>
      <c r="N277" s="236"/>
      <c r="O277" s="236"/>
      <c r="P277" s="236"/>
      <c r="Q277" s="236"/>
      <c r="R277" s="236"/>
      <c r="S277" s="235"/>
      <c r="T277" s="235"/>
      <c r="U277" s="235"/>
      <c r="V277" s="236" t="s">
        <v>1194</v>
      </c>
      <c r="W277" s="236"/>
      <c r="X277" s="229">
        <f t="shared" si="4"/>
        <v>1</v>
      </c>
    </row>
    <row r="278" spans="1:24">
      <c r="A278" s="233">
        <v>276</v>
      </c>
      <c r="B278" s="234" t="s">
        <v>233</v>
      </c>
      <c r="C278" s="234" t="s">
        <v>249</v>
      </c>
      <c r="D278" s="235" t="s">
        <v>1192</v>
      </c>
      <c r="E278" s="236"/>
      <c r="F278" s="236"/>
      <c r="G278" s="236"/>
      <c r="H278" s="236"/>
      <c r="I278" s="236"/>
      <c r="J278" s="236"/>
      <c r="K278" s="235"/>
      <c r="L278" s="235"/>
      <c r="M278" s="235"/>
      <c r="N278" s="236"/>
      <c r="O278" s="236"/>
      <c r="P278" s="236"/>
      <c r="Q278" s="236"/>
      <c r="R278" s="236"/>
      <c r="S278" s="235"/>
      <c r="T278" s="235"/>
      <c r="U278" s="235"/>
      <c r="V278" s="236" t="s">
        <v>1194</v>
      </c>
      <c r="W278" s="236"/>
      <c r="X278" s="229">
        <f t="shared" si="4"/>
        <v>1</v>
      </c>
    </row>
    <row r="279" spans="1:24">
      <c r="A279" s="233">
        <v>277</v>
      </c>
      <c r="B279" s="234" t="s">
        <v>233</v>
      </c>
      <c r="C279" s="234" t="s">
        <v>367</v>
      </c>
      <c r="D279" s="235" t="s">
        <v>1193</v>
      </c>
      <c r="E279" s="236"/>
      <c r="F279" s="236"/>
      <c r="G279" s="236"/>
      <c r="H279" s="236"/>
      <c r="I279" s="236"/>
      <c r="J279" s="236"/>
      <c r="K279" s="235"/>
      <c r="L279" s="235"/>
      <c r="M279" s="235"/>
      <c r="N279" s="236"/>
      <c r="O279" s="236"/>
      <c r="P279" s="236"/>
      <c r="Q279" s="236"/>
      <c r="R279" s="236"/>
      <c r="S279" s="235"/>
      <c r="T279" s="235"/>
      <c r="U279" s="235"/>
      <c r="V279" s="236"/>
      <c r="W279" s="236" t="s">
        <v>1194</v>
      </c>
      <c r="X279" s="229">
        <f t="shared" si="4"/>
        <v>1</v>
      </c>
    </row>
    <row r="280" spans="1:24">
      <c r="A280" s="233">
        <v>278</v>
      </c>
      <c r="B280" s="234" t="s">
        <v>233</v>
      </c>
      <c r="C280" s="234" t="s">
        <v>242</v>
      </c>
      <c r="D280" s="235" t="s">
        <v>1192</v>
      </c>
      <c r="E280" s="236"/>
      <c r="F280" s="236"/>
      <c r="G280" s="236"/>
      <c r="H280" s="236"/>
      <c r="I280" s="236"/>
      <c r="J280" s="236"/>
      <c r="K280" s="235"/>
      <c r="L280" s="235"/>
      <c r="M280" s="235"/>
      <c r="N280" s="236"/>
      <c r="O280" s="236"/>
      <c r="P280" s="236"/>
      <c r="Q280" s="236"/>
      <c r="R280" s="236"/>
      <c r="S280" s="235"/>
      <c r="T280" s="235"/>
      <c r="U280" s="235"/>
      <c r="V280" s="236" t="s">
        <v>1194</v>
      </c>
      <c r="W280" s="236"/>
      <c r="X280" s="229">
        <f t="shared" si="4"/>
        <v>1</v>
      </c>
    </row>
    <row r="281" spans="1:24">
      <c r="A281" s="233">
        <v>279</v>
      </c>
      <c r="B281" s="234" t="s">
        <v>233</v>
      </c>
      <c r="C281" s="234" t="s">
        <v>375</v>
      </c>
      <c r="D281" s="235" t="s">
        <v>1193</v>
      </c>
      <c r="E281" s="236"/>
      <c r="F281" s="236"/>
      <c r="G281" s="236"/>
      <c r="H281" s="236"/>
      <c r="I281" s="236"/>
      <c r="J281" s="236"/>
      <c r="K281" s="235"/>
      <c r="L281" s="235"/>
      <c r="M281" s="235"/>
      <c r="N281" s="236"/>
      <c r="O281" s="236"/>
      <c r="P281" s="236"/>
      <c r="Q281" s="236"/>
      <c r="R281" s="236"/>
      <c r="S281" s="235"/>
      <c r="T281" s="235"/>
      <c r="U281" s="235"/>
      <c r="V281" s="236"/>
      <c r="W281" s="236" t="s">
        <v>1194</v>
      </c>
      <c r="X281" s="229">
        <f t="shared" si="4"/>
        <v>1</v>
      </c>
    </row>
    <row r="282" spans="1:24">
      <c r="A282" s="233">
        <v>280</v>
      </c>
      <c r="B282" s="234" t="s">
        <v>233</v>
      </c>
      <c r="C282" s="234" t="s">
        <v>760</v>
      </c>
      <c r="D282" s="235" t="s">
        <v>1192</v>
      </c>
      <c r="E282" s="236"/>
      <c r="F282" s="236"/>
      <c r="G282" s="236"/>
      <c r="H282" s="236"/>
      <c r="I282" s="236"/>
      <c r="J282" s="236"/>
      <c r="K282" s="235"/>
      <c r="L282" s="235" t="s">
        <v>1194</v>
      </c>
      <c r="M282" s="235"/>
      <c r="N282" s="236"/>
      <c r="O282" s="236"/>
      <c r="P282" s="236"/>
      <c r="Q282" s="236"/>
      <c r="R282" s="236"/>
      <c r="S282" s="235"/>
      <c r="T282" s="235"/>
      <c r="U282" s="235"/>
      <c r="V282" s="236"/>
      <c r="W282" s="236"/>
      <c r="X282" s="229">
        <f t="shared" si="4"/>
        <v>1</v>
      </c>
    </row>
    <row r="283" spans="1:24">
      <c r="A283" s="233">
        <v>281</v>
      </c>
      <c r="B283" s="234" t="s">
        <v>233</v>
      </c>
      <c r="C283" s="234" t="s">
        <v>372</v>
      </c>
      <c r="D283" s="235" t="s">
        <v>1193</v>
      </c>
      <c r="E283" s="236"/>
      <c r="F283" s="236"/>
      <c r="G283" s="236"/>
      <c r="H283" s="236"/>
      <c r="I283" s="236"/>
      <c r="J283" s="236"/>
      <c r="K283" s="235"/>
      <c r="L283" s="235"/>
      <c r="M283" s="235"/>
      <c r="N283" s="236"/>
      <c r="O283" s="236"/>
      <c r="P283" s="236"/>
      <c r="Q283" s="236"/>
      <c r="R283" s="236"/>
      <c r="S283" s="235"/>
      <c r="T283" s="235"/>
      <c r="U283" s="235"/>
      <c r="V283" s="236"/>
      <c r="W283" s="236" t="s">
        <v>1194</v>
      </c>
      <c r="X283" s="229">
        <f t="shared" si="4"/>
        <v>1</v>
      </c>
    </row>
    <row r="284" spans="1:24">
      <c r="A284" s="233">
        <v>282</v>
      </c>
      <c r="B284" s="234" t="s">
        <v>233</v>
      </c>
      <c r="C284" s="234" t="s">
        <v>235</v>
      </c>
      <c r="D284" s="235" t="s">
        <v>1192</v>
      </c>
      <c r="E284" s="236"/>
      <c r="F284" s="236"/>
      <c r="G284" s="236"/>
      <c r="H284" s="236"/>
      <c r="I284" s="236"/>
      <c r="J284" s="236"/>
      <c r="K284" s="235"/>
      <c r="L284" s="235"/>
      <c r="M284" s="235"/>
      <c r="N284" s="236"/>
      <c r="O284" s="236"/>
      <c r="P284" s="236"/>
      <c r="Q284" s="236"/>
      <c r="R284" s="236"/>
      <c r="S284" s="235"/>
      <c r="T284" s="235"/>
      <c r="U284" s="235"/>
      <c r="V284" s="236" t="s">
        <v>1194</v>
      </c>
      <c r="W284" s="236"/>
      <c r="X284" s="229">
        <f t="shared" si="4"/>
        <v>1</v>
      </c>
    </row>
    <row r="285" spans="1:24">
      <c r="A285" s="233">
        <v>283</v>
      </c>
      <c r="B285" s="234" t="s">
        <v>233</v>
      </c>
      <c r="C285" s="234" t="s">
        <v>240</v>
      </c>
      <c r="D285" s="235" t="s">
        <v>1192</v>
      </c>
      <c r="E285" s="236"/>
      <c r="F285" s="236"/>
      <c r="G285" s="236"/>
      <c r="H285" s="236"/>
      <c r="I285" s="236"/>
      <c r="J285" s="236"/>
      <c r="K285" s="235"/>
      <c r="L285" s="235"/>
      <c r="M285" s="235"/>
      <c r="N285" s="236"/>
      <c r="O285" s="236"/>
      <c r="P285" s="236"/>
      <c r="Q285" s="236"/>
      <c r="R285" s="236"/>
      <c r="S285" s="235"/>
      <c r="T285" s="235"/>
      <c r="U285" s="235"/>
      <c r="V285" s="236" t="s">
        <v>1194</v>
      </c>
      <c r="W285" s="236"/>
      <c r="X285" s="229">
        <f t="shared" si="4"/>
        <v>1</v>
      </c>
    </row>
    <row r="286" spans="1:24">
      <c r="A286" s="233">
        <v>284</v>
      </c>
      <c r="B286" s="234" t="s">
        <v>233</v>
      </c>
      <c r="C286" s="234" t="s">
        <v>232</v>
      </c>
      <c r="D286" s="235" t="s">
        <v>1192</v>
      </c>
      <c r="E286" s="236"/>
      <c r="F286" s="236"/>
      <c r="G286" s="236"/>
      <c r="H286" s="236"/>
      <c r="I286" s="236"/>
      <c r="J286" s="236"/>
      <c r="K286" s="235"/>
      <c r="L286" s="235"/>
      <c r="M286" s="235"/>
      <c r="N286" s="236"/>
      <c r="O286" s="236"/>
      <c r="P286" s="236"/>
      <c r="Q286" s="236"/>
      <c r="R286" s="236"/>
      <c r="S286" s="235"/>
      <c r="T286" s="235"/>
      <c r="U286" s="235"/>
      <c r="V286" s="236" t="s">
        <v>1194</v>
      </c>
      <c r="W286" s="236"/>
      <c r="X286" s="229">
        <f t="shared" si="4"/>
        <v>1</v>
      </c>
    </row>
    <row r="287" spans="1:24">
      <c r="A287" s="233">
        <v>285</v>
      </c>
      <c r="B287" s="234" t="s">
        <v>233</v>
      </c>
      <c r="C287" s="234" t="s">
        <v>237</v>
      </c>
      <c r="D287" s="235" t="s">
        <v>1192</v>
      </c>
      <c r="E287" s="236"/>
      <c r="F287" s="236"/>
      <c r="G287" s="236"/>
      <c r="H287" s="236"/>
      <c r="I287" s="236"/>
      <c r="J287" s="236"/>
      <c r="K287" s="235"/>
      <c r="L287" s="235"/>
      <c r="M287" s="235"/>
      <c r="N287" s="236"/>
      <c r="O287" s="236"/>
      <c r="P287" s="236"/>
      <c r="Q287" s="236"/>
      <c r="R287" s="236"/>
      <c r="S287" s="235"/>
      <c r="T287" s="235"/>
      <c r="U287" s="235"/>
      <c r="V287" s="236" t="s">
        <v>1194</v>
      </c>
      <c r="W287" s="236"/>
      <c r="X287" s="229">
        <f t="shared" si="4"/>
        <v>1</v>
      </c>
    </row>
    <row r="288" spans="1:24">
      <c r="A288" s="233">
        <v>286</v>
      </c>
      <c r="B288" s="234" t="s">
        <v>272</v>
      </c>
      <c r="C288" s="234" t="s">
        <v>271</v>
      </c>
      <c r="D288" s="235" t="s">
        <v>1192</v>
      </c>
      <c r="E288" s="236"/>
      <c r="F288" s="236"/>
      <c r="G288" s="236"/>
      <c r="H288" s="236"/>
      <c r="I288" s="236"/>
      <c r="J288" s="236"/>
      <c r="K288" s="235"/>
      <c r="L288" s="235"/>
      <c r="M288" s="235"/>
      <c r="N288" s="236"/>
      <c r="O288" s="236"/>
      <c r="P288" s="236"/>
      <c r="Q288" s="236"/>
      <c r="R288" s="236"/>
      <c r="S288" s="235"/>
      <c r="T288" s="235"/>
      <c r="U288" s="235"/>
      <c r="V288" s="236" t="s">
        <v>1194</v>
      </c>
      <c r="W288" s="236"/>
      <c r="X288" s="229">
        <f t="shared" si="4"/>
        <v>1</v>
      </c>
    </row>
    <row r="289" spans="1:24">
      <c r="A289" s="233">
        <v>287</v>
      </c>
      <c r="B289" s="234" t="s">
        <v>272</v>
      </c>
      <c r="C289" s="234" t="s">
        <v>277</v>
      </c>
      <c r="D289" s="235" t="s">
        <v>1192</v>
      </c>
      <c r="E289" s="236"/>
      <c r="F289" s="236"/>
      <c r="G289" s="236"/>
      <c r="H289" s="236"/>
      <c r="I289" s="236"/>
      <c r="J289" s="236"/>
      <c r="K289" s="235"/>
      <c r="L289" s="235"/>
      <c r="M289" s="235"/>
      <c r="N289" s="236"/>
      <c r="O289" s="236"/>
      <c r="P289" s="236"/>
      <c r="Q289" s="236"/>
      <c r="R289" s="236"/>
      <c r="S289" s="235"/>
      <c r="T289" s="235"/>
      <c r="U289" s="235"/>
      <c r="V289" s="236" t="s">
        <v>1194</v>
      </c>
      <c r="W289" s="236"/>
      <c r="X289" s="229">
        <f t="shared" si="4"/>
        <v>1</v>
      </c>
    </row>
    <row r="290" spans="1:24">
      <c r="A290" s="233">
        <v>288</v>
      </c>
      <c r="B290" s="234" t="s">
        <v>272</v>
      </c>
      <c r="C290" s="234" t="s">
        <v>438</v>
      </c>
      <c r="D290" s="235" t="s">
        <v>1192</v>
      </c>
      <c r="E290" s="236"/>
      <c r="F290" s="236"/>
      <c r="G290" s="236"/>
      <c r="H290" s="236"/>
      <c r="I290" s="236"/>
      <c r="J290" s="236"/>
      <c r="K290" s="235"/>
      <c r="L290" s="235"/>
      <c r="M290" s="235"/>
      <c r="N290" s="236"/>
      <c r="O290" s="236"/>
      <c r="P290" s="236"/>
      <c r="Q290" s="236"/>
      <c r="R290" s="236"/>
      <c r="S290" s="235"/>
      <c r="T290" s="235"/>
      <c r="U290" s="235" t="s">
        <v>1194</v>
      </c>
      <c r="V290" s="236"/>
      <c r="W290" s="236"/>
      <c r="X290" s="229">
        <f t="shared" si="4"/>
        <v>1</v>
      </c>
    </row>
    <row r="291" spans="1:24">
      <c r="A291" s="233">
        <v>289</v>
      </c>
      <c r="B291" s="234" t="s">
        <v>272</v>
      </c>
      <c r="C291" s="234" t="s">
        <v>437</v>
      </c>
      <c r="D291" s="235" t="s">
        <v>1193</v>
      </c>
      <c r="E291" s="236"/>
      <c r="F291" s="236"/>
      <c r="G291" s="236"/>
      <c r="H291" s="236"/>
      <c r="I291" s="236"/>
      <c r="J291" s="236"/>
      <c r="K291" s="235"/>
      <c r="L291" s="235"/>
      <c r="M291" s="235"/>
      <c r="N291" s="236"/>
      <c r="O291" s="236"/>
      <c r="P291" s="236"/>
      <c r="Q291" s="236"/>
      <c r="R291" s="236"/>
      <c r="S291" s="235"/>
      <c r="T291" s="235"/>
      <c r="U291" s="235" t="s">
        <v>1194</v>
      </c>
      <c r="V291" s="236"/>
      <c r="W291" s="236"/>
      <c r="X291" s="229">
        <f t="shared" si="4"/>
        <v>1</v>
      </c>
    </row>
    <row r="292" spans="1:24">
      <c r="A292" s="233">
        <v>290</v>
      </c>
      <c r="B292" s="234" t="s">
        <v>272</v>
      </c>
      <c r="C292" s="234" t="s">
        <v>274</v>
      </c>
      <c r="D292" s="235" t="s">
        <v>1192</v>
      </c>
      <c r="E292" s="236"/>
      <c r="F292" s="236"/>
      <c r="G292" s="236"/>
      <c r="H292" s="236"/>
      <c r="I292" s="236"/>
      <c r="J292" s="236"/>
      <c r="K292" s="235"/>
      <c r="L292" s="235"/>
      <c r="M292" s="235"/>
      <c r="N292" s="236"/>
      <c r="O292" s="236"/>
      <c r="P292" s="236"/>
      <c r="Q292" s="236"/>
      <c r="R292" s="236"/>
      <c r="S292" s="235"/>
      <c r="T292" s="235"/>
      <c r="U292" s="235" t="s">
        <v>1194</v>
      </c>
      <c r="V292" s="236" t="s">
        <v>1194</v>
      </c>
      <c r="W292" s="236"/>
      <c r="X292" s="229">
        <f t="shared" si="4"/>
        <v>2</v>
      </c>
    </row>
    <row r="293" spans="1:24">
      <c r="A293" s="233">
        <v>291</v>
      </c>
      <c r="B293" s="234" t="s">
        <v>512</v>
      </c>
      <c r="C293" s="234" t="s">
        <v>511</v>
      </c>
      <c r="D293" s="235" t="s">
        <v>1193</v>
      </c>
      <c r="E293" s="236"/>
      <c r="F293" s="236"/>
      <c r="G293" s="236"/>
      <c r="H293" s="236"/>
      <c r="I293" s="236"/>
      <c r="J293" s="236"/>
      <c r="K293" s="235"/>
      <c r="L293" s="235"/>
      <c r="M293" s="235"/>
      <c r="N293" s="236"/>
      <c r="O293" s="236"/>
      <c r="P293" s="236"/>
      <c r="Q293" s="236"/>
      <c r="R293" s="236"/>
      <c r="S293" s="235" t="s">
        <v>1194</v>
      </c>
      <c r="T293" s="235"/>
      <c r="U293" s="235"/>
      <c r="V293" s="236"/>
      <c r="W293" s="236"/>
      <c r="X293" s="229">
        <f t="shared" si="4"/>
        <v>1</v>
      </c>
    </row>
    <row r="294" spans="1:24">
      <c r="A294" s="233">
        <v>292</v>
      </c>
      <c r="B294" s="234" t="s">
        <v>766</v>
      </c>
      <c r="C294" s="234" t="s">
        <v>804</v>
      </c>
      <c r="D294" s="235" t="s">
        <v>1193</v>
      </c>
      <c r="E294" s="236"/>
      <c r="F294" s="236"/>
      <c r="G294" s="236"/>
      <c r="H294" s="236"/>
      <c r="I294" s="236"/>
      <c r="J294" s="236"/>
      <c r="K294" s="235"/>
      <c r="L294" s="235"/>
      <c r="M294" s="235"/>
      <c r="N294" s="236"/>
      <c r="O294" s="236" t="s">
        <v>1194</v>
      </c>
      <c r="P294" s="236"/>
      <c r="Q294" s="236"/>
      <c r="R294" s="236"/>
      <c r="S294" s="235"/>
      <c r="T294" s="235"/>
      <c r="U294" s="235"/>
      <c r="V294" s="236"/>
      <c r="W294" s="236"/>
      <c r="X294" s="229">
        <f t="shared" si="4"/>
        <v>1</v>
      </c>
    </row>
    <row r="295" spans="1:24">
      <c r="A295" s="233">
        <v>293</v>
      </c>
      <c r="B295" s="234" t="s">
        <v>766</v>
      </c>
      <c r="C295" s="234" t="s">
        <v>768</v>
      </c>
      <c r="D295" s="235" t="s">
        <v>1192</v>
      </c>
      <c r="E295" s="236"/>
      <c r="F295" s="236"/>
      <c r="G295" s="236"/>
      <c r="H295" s="236"/>
      <c r="I295" s="236"/>
      <c r="J295" s="236"/>
      <c r="K295" s="235"/>
      <c r="L295" s="235"/>
      <c r="M295" s="235"/>
      <c r="N295" s="236"/>
      <c r="O295" s="236"/>
      <c r="P295" s="236" t="s">
        <v>1194</v>
      </c>
      <c r="Q295" s="236"/>
      <c r="R295" s="236"/>
      <c r="S295" s="235"/>
      <c r="T295" s="235"/>
      <c r="U295" s="235"/>
      <c r="V295" s="236"/>
      <c r="W295" s="236"/>
      <c r="X295" s="229">
        <f t="shared" si="4"/>
        <v>1</v>
      </c>
    </row>
    <row r="296" spans="1:24">
      <c r="A296" s="233">
        <v>294</v>
      </c>
      <c r="B296" s="234" t="s">
        <v>766</v>
      </c>
      <c r="C296" s="234" t="s">
        <v>765</v>
      </c>
      <c r="D296" s="235" t="s">
        <v>1193</v>
      </c>
      <c r="E296" s="236"/>
      <c r="F296" s="236"/>
      <c r="G296" s="236"/>
      <c r="H296" s="236"/>
      <c r="I296" s="236"/>
      <c r="J296" s="236"/>
      <c r="K296" s="235"/>
      <c r="L296" s="235"/>
      <c r="M296" s="235"/>
      <c r="N296" s="236"/>
      <c r="O296" s="236" t="s">
        <v>1194</v>
      </c>
      <c r="P296" s="236" t="s">
        <v>1194</v>
      </c>
      <c r="Q296" s="236"/>
      <c r="R296" s="236"/>
      <c r="S296" s="235"/>
      <c r="T296" s="235"/>
      <c r="U296" s="235"/>
      <c r="V296" s="236"/>
      <c r="W296" s="236"/>
      <c r="X296" s="229">
        <f t="shared" si="4"/>
        <v>2</v>
      </c>
    </row>
    <row r="297" spans="1:24">
      <c r="A297" s="233">
        <v>295</v>
      </c>
      <c r="B297" s="234" t="s">
        <v>766</v>
      </c>
      <c r="C297" s="234" t="s">
        <v>807</v>
      </c>
      <c r="D297" s="235" t="s">
        <v>1193</v>
      </c>
      <c r="E297" s="236"/>
      <c r="F297" s="236"/>
      <c r="G297" s="236"/>
      <c r="H297" s="236"/>
      <c r="I297" s="236"/>
      <c r="J297" s="236"/>
      <c r="K297" s="235"/>
      <c r="L297" s="235"/>
      <c r="M297" s="235"/>
      <c r="N297" s="236"/>
      <c r="O297" s="236" t="s">
        <v>1194</v>
      </c>
      <c r="P297" s="236"/>
      <c r="Q297" s="236"/>
      <c r="R297" s="236"/>
      <c r="S297" s="235"/>
      <c r="T297" s="235"/>
      <c r="U297" s="235"/>
      <c r="V297" s="236"/>
      <c r="W297" s="236"/>
      <c r="X297" s="229">
        <f t="shared" si="4"/>
        <v>1</v>
      </c>
    </row>
    <row r="298" spans="1:24">
      <c r="A298" s="233">
        <v>296</v>
      </c>
      <c r="B298" s="234" t="s">
        <v>766</v>
      </c>
      <c r="C298" s="234" t="s">
        <v>801</v>
      </c>
      <c r="D298" s="235" t="s">
        <v>1193</v>
      </c>
      <c r="E298" s="236"/>
      <c r="F298" s="236"/>
      <c r="G298" s="236"/>
      <c r="H298" s="236"/>
      <c r="I298" s="236"/>
      <c r="J298" s="236"/>
      <c r="K298" s="235"/>
      <c r="L298" s="235"/>
      <c r="M298" s="235"/>
      <c r="N298" s="236" t="s">
        <v>1194</v>
      </c>
      <c r="O298" s="236" t="s">
        <v>1194</v>
      </c>
      <c r="P298" s="236"/>
      <c r="Q298" s="236"/>
      <c r="R298" s="236"/>
      <c r="S298" s="235"/>
      <c r="T298" s="235"/>
      <c r="U298" s="235"/>
      <c r="V298" s="236"/>
      <c r="W298" s="236"/>
      <c r="X298" s="229">
        <f t="shared" si="4"/>
        <v>2</v>
      </c>
    </row>
    <row r="299" spans="1:24">
      <c r="A299" s="233">
        <v>297</v>
      </c>
      <c r="B299" s="234" t="s">
        <v>440</v>
      </c>
      <c r="C299" s="234" t="s">
        <v>444</v>
      </c>
      <c r="D299" s="235" t="s">
        <v>1192</v>
      </c>
      <c r="E299" s="236"/>
      <c r="F299" s="236"/>
      <c r="G299" s="236"/>
      <c r="H299" s="236"/>
      <c r="I299" s="236"/>
      <c r="J299" s="236"/>
      <c r="K299" s="235"/>
      <c r="L299" s="235"/>
      <c r="M299" s="235"/>
      <c r="N299" s="236"/>
      <c r="O299" s="236"/>
      <c r="P299" s="236"/>
      <c r="Q299" s="236"/>
      <c r="R299" s="236"/>
      <c r="S299" s="235"/>
      <c r="T299" s="235"/>
      <c r="U299" s="235" t="s">
        <v>1194</v>
      </c>
      <c r="V299" s="236"/>
      <c r="W299" s="236"/>
      <c r="X299" s="229">
        <f t="shared" si="4"/>
        <v>1</v>
      </c>
    </row>
    <row r="300" spans="1:24">
      <c r="A300" s="233">
        <v>299</v>
      </c>
      <c r="B300" s="234" t="s">
        <v>440</v>
      </c>
      <c r="C300" s="234" t="s">
        <v>462</v>
      </c>
      <c r="D300" s="235" t="s">
        <v>1192</v>
      </c>
      <c r="E300" s="236"/>
      <c r="F300" s="236"/>
      <c r="G300" s="236"/>
      <c r="H300" s="236"/>
      <c r="I300" s="236"/>
      <c r="J300" s="236"/>
      <c r="K300" s="235"/>
      <c r="L300" s="235"/>
      <c r="M300" s="235"/>
      <c r="N300" s="236"/>
      <c r="O300" s="236"/>
      <c r="P300" s="236"/>
      <c r="Q300" s="236"/>
      <c r="R300" s="236"/>
      <c r="S300" s="235"/>
      <c r="T300" s="235"/>
      <c r="U300" s="235" t="s">
        <v>1194</v>
      </c>
      <c r="V300" s="236"/>
      <c r="W300" s="236"/>
      <c r="X300" s="229">
        <f t="shared" si="4"/>
        <v>1</v>
      </c>
    </row>
    <row r="301" spans="1:24">
      <c r="A301" s="233">
        <v>300</v>
      </c>
      <c r="B301" s="234" t="s">
        <v>440</v>
      </c>
      <c r="C301" s="234" t="s">
        <v>769</v>
      </c>
      <c r="D301" s="235" t="s">
        <v>1193</v>
      </c>
      <c r="E301" s="236"/>
      <c r="F301" s="236"/>
      <c r="G301" s="236"/>
      <c r="H301" s="236"/>
      <c r="I301" s="236"/>
      <c r="J301" s="236"/>
      <c r="K301" s="235" t="s">
        <v>1194</v>
      </c>
      <c r="L301" s="235" t="s">
        <v>1194</v>
      </c>
      <c r="M301" s="235"/>
      <c r="N301" s="236"/>
      <c r="O301" s="236"/>
      <c r="P301" s="236"/>
      <c r="Q301" s="236"/>
      <c r="R301" s="236"/>
      <c r="S301" s="235"/>
      <c r="T301" s="235"/>
      <c r="U301" s="235"/>
      <c r="V301" s="236"/>
      <c r="W301" s="236"/>
      <c r="X301" s="229">
        <f t="shared" si="4"/>
        <v>2</v>
      </c>
    </row>
    <row r="302" spans="1:24">
      <c r="A302" s="233">
        <v>301</v>
      </c>
      <c r="B302" s="234" t="s">
        <v>440</v>
      </c>
      <c r="C302" s="234" t="s">
        <v>762</v>
      </c>
      <c r="D302" s="235" t="s">
        <v>1192</v>
      </c>
      <c r="E302" s="236"/>
      <c r="F302" s="236"/>
      <c r="G302" s="236"/>
      <c r="H302" s="236"/>
      <c r="I302" s="236"/>
      <c r="J302" s="236"/>
      <c r="K302" s="235"/>
      <c r="L302" s="235" t="s">
        <v>1194</v>
      </c>
      <c r="M302" s="235" t="s">
        <v>1194</v>
      </c>
      <c r="N302" s="236"/>
      <c r="O302" s="236"/>
      <c r="P302" s="236"/>
      <c r="Q302" s="236"/>
      <c r="R302" s="236"/>
      <c r="S302" s="235"/>
      <c r="T302" s="235"/>
      <c r="U302" s="235"/>
      <c r="V302" s="236"/>
      <c r="W302" s="236"/>
      <c r="X302" s="229">
        <f t="shared" si="4"/>
        <v>2</v>
      </c>
    </row>
    <row r="303" spans="1:24">
      <c r="A303" s="233">
        <v>302</v>
      </c>
      <c r="B303" s="234" t="s">
        <v>440</v>
      </c>
      <c r="C303" s="234" t="s">
        <v>439</v>
      </c>
      <c r="D303" s="235" t="s">
        <v>1193</v>
      </c>
      <c r="E303" s="236"/>
      <c r="F303" s="236"/>
      <c r="G303" s="236"/>
      <c r="H303" s="236"/>
      <c r="I303" s="236"/>
      <c r="J303" s="236"/>
      <c r="K303" s="235"/>
      <c r="L303" s="235"/>
      <c r="M303" s="235"/>
      <c r="N303" s="236"/>
      <c r="O303" s="236"/>
      <c r="P303" s="236"/>
      <c r="Q303" s="236"/>
      <c r="R303" s="236"/>
      <c r="S303" s="235"/>
      <c r="T303" s="235"/>
      <c r="U303" s="235" t="s">
        <v>1194</v>
      </c>
      <c r="V303" s="236"/>
      <c r="W303" s="236"/>
      <c r="X303" s="229">
        <f t="shared" si="4"/>
        <v>1</v>
      </c>
    </row>
    <row r="304" spans="1:24">
      <c r="A304" s="233">
        <v>303</v>
      </c>
      <c r="B304" s="234" t="s">
        <v>440</v>
      </c>
      <c r="C304" s="234" t="s">
        <v>452</v>
      </c>
      <c r="D304" s="235" t="s">
        <v>1193</v>
      </c>
      <c r="E304" s="236"/>
      <c r="F304" s="236"/>
      <c r="G304" s="236"/>
      <c r="H304" s="236"/>
      <c r="I304" s="236"/>
      <c r="J304" s="236"/>
      <c r="K304" s="235"/>
      <c r="L304" s="235"/>
      <c r="M304" s="235"/>
      <c r="N304" s="236"/>
      <c r="O304" s="236"/>
      <c r="P304" s="236"/>
      <c r="Q304" s="236"/>
      <c r="R304" s="236"/>
      <c r="S304" s="235"/>
      <c r="T304" s="235"/>
      <c r="U304" s="235" t="s">
        <v>1194</v>
      </c>
      <c r="V304" s="236"/>
      <c r="W304" s="236"/>
      <c r="X304" s="229">
        <f t="shared" si="4"/>
        <v>1</v>
      </c>
    </row>
    <row r="305" spans="1:24">
      <c r="A305" s="233">
        <v>304</v>
      </c>
      <c r="B305" s="234" t="s">
        <v>440</v>
      </c>
      <c r="C305" s="234" t="s">
        <v>458</v>
      </c>
      <c r="D305" s="235" t="s">
        <v>1193</v>
      </c>
      <c r="E305" s="236"/>
      <c r="F305" s="236"/>
      <c r="G305" s="236"/>
      <c r="H305" s="236"/>
      <c r="I305" s="236"/>
      <c r="J305" s="236"/>
      <c r="K305" s="235"/>
      <c r="L305" s="235"/>
      <c r="M305" s="235"/>
      <c r="N305" s="236"/>
      <c r="O305" s="236"/>
      <c r="P305" s="236"/>
      <c r="Q305" s="236"/>
      <c r="R305" s="236"/>
      <c r="S305" s="235"/>
      <c r="T305" s="235"/>
      <c r="U305" s="235" t="s">
        <v>1194</v>
      </c>
      <c r="V305" s="236"/>
      <c r="W305" s="236"/>
      <c r="X305" s="229">
        <f t="shared" si="4"/>
        <v>1</v>
      </c>
    </row>
    <row r="306" spans="1:24">
      <c r="A306" s="233">
        <v>305</v>
      </c>
      <c r="B306" s="234" t="s">
        <v>440</v>
      </c>
      <c r="C306" s="234" t="s">
        <v>456</v>
      </c>
      <c r="D306" s="235" t="s">
        <v>1193</v>
      </c>
      <c r="E306" s="236"/>
      <c r="F306" s="236"/>
      <c r="G306" s="236"/>
      <c r="H306" s="236"/>
      <c r="I306" s="236"/>
      <c r="J306" s="236"/>
      <c r="K306" s="235"/>
      <c r="L306" s="235"/>
      <c r="M306" s="235"/>
      <c r="N306" s="236"/>
      <c r="O306" s="236"/>
      <c r="P306" s="236"/>
      <c r="Q306" s="236"/>
      <c r="R306" s="236"/>
      <c r="S306" s="235"/>
      <c r="T306" s="235"/>
      <c r="U306" s="235" t="s">
        <v>1194</v>
      </c>
      <c r="V306" s="236"/>
      <c r="W306" s="236"/>
      <c r="X306" s="229">
        <f t="shared" si="4"/>
        <v>1</v>
      </c>
    </row>
    <row r="307" spans="1:24">
      <c r="A307" s="233">
        <v>306</v>
      </c>
      <c r="B307" s="234" t="s">
        <v>440</v>
      </c>
      <c r="C307" s="234" t="s">
        <v>695</v>
      </c>
      <c r="D307" s="235" t="s">
        <v>1193</v>
      </c>
      <c r="E307" s="236"/>
      <c r="F307" s="236" t="s">
        <v>1194</v>
      </c>
      <c r="G307" s="236"/>
      <c r="H307" s="236"/>
      <c r="I307" s="236"/>
      <c r="J307" s="236"/>
      <c r="K307" s="235"/>
      <c r="L307" s="235"/>
      <c r="M307" s="235"/>
      <c r="N307" s="236"/>
      <c r="O307" s="236"/>
      <c r="P307" s="236"/>
      <c r="Q307" s="236"/>
      <c r="R307" s="236"/>
      <c r="S307" s="235"/>
      <c r="T307" s="235"/>
      <c r="U307" s="235"/>
      <c r="V307" s="236"/>
      <c r="W307" s="236"/>
      <c r="X307" s="229">
        <f t="shared" si="4"/>
        <v>1</v>
      </c>
    </row>
    <row r="308" spans="1:24">
      <c r="A308" s="233">
        <v>307</v>
      </c>
      <c r="B308" s="234" t="s">
        <v>440</v>
      </c>
      <c r="C308" s="234" t="s">
        <v>442</v>
      </c>
      <c r="D308" s="235" t="s">
        <v>1192</v>
      </c>
      <c r="E308" s="236"/>
      <c r="F308" s="236"/>
      <c r="G308" s="236"/>
      <c r="H308" s="236"/>
      <c r="I308" s="236"/>
      <c r="J308" s="236"/>
      <c r="K308" s="235"/>
      <c r="L308" s="235"/>
      <c r="M308" s="235"/>
      <c r="N308" s="236"/>
      <c r="O308" s="236"/>
      <c r="P308" s="236"/>
      <c r="Q308" s="236"/>
      <c r="R308" s="236"/>
      <c r="S308" s="235"/>
      <c r="T308" s="235"/>
      <c r="U308" s="235" t="s">
        <v>1194</v>
      </c>
      <c r="V308" s="236"/>
      <c r="W308" s="236"/>
      <c r="X308" s="229">
        <f t="shared" si="4"/>
        <v>1</v>
      </c>
    </row>
    <row r="309" spans="1:24">
      <c r="A309" s="233">
        <v>308</v>
      </c>
      <c r="B309" s="234" t="s">
        <v>440</v>
      </c>
      <c r="C309" s="234" t="s">
        <v>450</v>
      </c>
      <c r="D309" s="235" t="s">
        <v>1192</v>
      </c>
      <c r="E309" s="236"/>
      <c r="F309" s="236"/>
      <c r="G309" s="236"/>
      <c r="H309" s="236"/>
      <c r="I309" s="236"/>
      <c r="J309" s="236"/>
      <c r="K309" s="235"/>
      <c r="L309" s="235"/>
      <c r="M309" s="235"/>
      <c r="N309" s="236"/>
      <c r="O309" s="236"/>
      <c r="P309" s="236"/>
      <c r="Q309" s="236"/>
      <c r="R309" s="236"/>
      <c r="S309" s="235"/>
      <c r="T309" s="235"/>
      <c r="U309" s="235" t="s">
        <v>1194</v>
      </c>
      <c r="V309" s="236"/>
      <c r="W309" s="236"/>
      <c r="X309" s="229">
        <f t="shared" si="4"/>
        <v>1</v>
      </c>
    </row>
    <row r="310" spans="1:24">
      <c r="A310" s="233">
        <v>309</v>
      </c>
      <c r="B310" s="234" t="s">
        <v>440</v>
      </c>
      <c r="C310" s="234" t="s">
        <v>522</v>
      </c>
      <c r="D310" s="235" t="s">
        <v>1193</v>
      </c>
      <c r="E310" s="236"/>
      <c r="F310" s="236"/>
      <c r="G310" s="236"/>
      <c r="H310" s="236"/>
      <c r="I310" s="236"/>
      <c r="J310" s="236"/>
      <c r="K310" s="235"/>
      <c r="L310" s="235"/>
      <c r="M310" s="235"/>
      <c r="N310" s="236"/>
      <c r="O310" s="236"/>
      <c r="P310" s="236"/>
      <c r="Q310" s="236"/>
      <c r="R310" s="236"/>
      <c r="S310" s="235" t="s">
        <v>1194</v>
      </c>
      <c r="T310" s="235"/>
      <c r="U310" s="235"/>
      <c r="V310" s="236"/>
      <c r="W310" s="236"/>
      <c r="X310" s="229">
        <f t="shared" si="4"/>
        <v>1</v>
      </c>
    </row>
    <row r="311" spans="1:24">
      <c r="A311" s="233">
        <v>310</v>
      </c>
      <c r="B311" s="234" t="s">
        <v>440</v>
      </c>
      <c r="C311" s="234" t="s">
        <v>448</v>
      </c>
      <c r="D311" s="235" t="s">
        <v>1192</v>
      </c>
      <c r="E311" s="236"/>
      <c r="F311" s="236"/>
      <c r="G311" s="236"/>
      <c r="H311" s="236"/>
      <c r="I311" s="236"/>
      <c r="J311" s="236"/>
      <c r="K311" s="235"/>
      <c r="L311" s="235"/>
      <c r="M311" s="235"/>
      <c r="N311" s="236"/>
      <c r="O311" s="236"/>
      <c r="P311" s="236"/>
      <c r="Q311" s="236"/>
      <c r="R311" s="236"/>
      <c r="S311" s="235"/>
      <c r="T311" s="235"/>
      <c r="U311" s="235" t="s">
        <v>1194</v>
      </c>
      <c r="V311" s="236"/>
      <c r="W311" s="236"/>
      <c r="X311" s="229">
        <f t="shared" si="4"/>
        <v>1</v>
      </c>
    </row>
    <row r="312" spans="1:24">
      <c r="A312" s="233">
        <v>311</v>
      </c>
      <c r="B312" s="234" t="s">
        <v>440</v>
      </c>
      <c r="C312" s="234" t="s">
        <v>446</v>
      </c>
      <c r="D312" s="235" t="s">
        <v>1192</v>
      </c>
      <c r="E312" s="236"/>
      <c r="F312" s="236"/>
      <c r="G312" s="236"/>
      <c r="H312" s="236"/>
      <c r="I312" s="236"/>
      <c r="J312" s="236"/>
      <c r="K312" s="235"/>
      <c r="L312" s="235"/>
      <c r="M312" s="235"/>
      <c r="N312" s="236"/>
      <c r="O312" s="236"/>
      <c r="P312" s="236"/>
      <c r="Q312" s="236"/>
      <c r="R312" s="236"/>
      <c r="S312" s="235"/>
      <c r="T312" s="235"/>
      <c r="U312" s="235" t="s">
        <v>1194</v>
      </c>
      <c r="V312" s="236"/>
      <c r="W312" s="236"/>
      <c r="X312" s="229">
        <f t="shared" si="4"/>
        <v>1</v>
      </c>
    </row>
    <row r="313" spans="1:24">
      <c r="A313" s="233">
        <v>312</v>
      </c>
      <c r="B313" s="234" t="s">
        <v>440</v>
      </c>
      <c r="C313" s="234" t="s">
        <v>680</v>
      </c>
      <c r="D313" s="235" t="s">
        <v>1193</v>
      </c>
      <c r="E313" s="236" t="s">
        <v>1194</v>
      </c>
      <c r="F313" s="236" t="s">
        <v>1194</v>
      </c>
      <c r="G313" s="236"/>
      <c r="H313" s="236"/>
      <c r="I313" s="236"/>
      <c r="J313" s="236"/>
      <c r="K313" s="235"/>
      <c r="L313" s="235"/>
      <c r="M313" s="235"/>
      <c r="N313" s="236"/>
      <c r="O313" s="236"/>
      <c r="P313" s="236"/>
      <c r="Q313" s="236"/>
      <c r="R313" s="236"/>
      <c r="S313" s="235"/>
      <c r="T313" s="235"/>
      <c r="U313" s="235"/>
      <c r="V313" s="236"/>
      <c r="W313" s="236"/>
      <c r="X313" s="229">
        <f t="shared" si="4"/>
        <v>2</v>
      </c>
    </row>
    <row r="314" spans="1:24">
      <c r="A314" s="233">
        <v>313</v>
      </c>
      <c r="B314" s="234" t="s">
        <v>440</v>
      </c>
      <c r="C314" s="234" t="s">
        <v>515</v>
      </c>
      <c r="D314" s="235" t="s">
        <v>1193</v>
      </c>
      <c r="E314" s="236"/>
      <c r="F314" s="236"/>
      <c r="G314" s="236"/>
      <c r="H314" s="236"/>
      <c r="I314" s="236"/>
      <c r="J314" s="236"/>
      <c r="K314" s="235"/>
      <c r="L314" s="235"/>
      <c r="M314" s="235"/>
      <c r="N314" s="236"/>
      <c r="O314" s="236"/>
      <c r="P314" s="236"/>
      <c r="Q314" s="236"/>
      <c r="R314" s="236"/>
      <c r="S314" s="235" t="s">
        <v>1194</v>
      </c>
      <c r="T314" s="235"/>
      <c r="U314" s="235"/>
      <c r="V314" s="236"/>
      <c r="W314" s="236"/>
      <c r="X314" s="229">
        <f t="shared" si="4"/>
        <v>1</v>
      </c>
    </row>
    <row r="315" spans="1:24">
      <c r="A315" s="233">
        <v>314</v>
      </c>
      <c r="B315" s="234" t="s">
        <v>440</v>
      </c>
      <c r="C315" s="234" t="s">
        <v>519</v>
      </c>
      <c r="D315" s="235" t="s">
        <v>1193</v>
      </c>
      <c r="E315" s="236"/>
      <c r="F315" s="236"/>
      <c r="G315" s="236"/>
      <c r="H315" s="236"/>
      <c r="I315" s="236"/>
      <c r="J315" s="236"/>
      <c r="K315" s="235"/>
      <c r="L315" s="235"/>
      <c r="M315" s="235"/>
      <c r="N315" s="236"/>
      <c r="O315" s="236"/>
      <c r="P315" s="236"/>
      <c r="Q315" s="236"/>
      <c r="R315" s="236"/>
      <c r="S315" s="235" t="s">
        <v>1194</v>
      </c>
      <c r="T315" s="235"/>
      <c r="U315" s="235"/>
      <c r="V315" s="236"/>
      <c r="W315" s="236"/>
      <c r="X315" s="229">
        <f t="shared" si="4"/>
        <v>1</v>
      </c>
    </row>
    <row r="316" spans="1:24">
      <c r="A316" s="233">
        <v>315</v>
      </c>
      <c r="B316" s="234" t="s">
        <v>440</v>
      </c>
      <c r="C316" s="234" t="s">
        <v>855</v>
      </c>
      <c r="D316" s="235" t="s">
        <v>1192</v>
      </c>
      <c r="E316" s="236"/>
      <c r="F316" s="236"/>
      <c r="G316" s="236"/>
      <c r="H316" s="236"/>
      <c r="I316" s="236"/>
      <c r="J316" s="236"/>
      <c r="K316" s="235"/>
      <c r="L316" s="235"/>
      <c r="M316" s="235" t="s">
        <v>1194</v>
      </c>
      <c r="N316" s="236"/>
      <c r="O316" s="236"/>
      <c r="P316" s="236"/>
      <c r="Q316" s="236"/>
      <c r="R316" s="236"/>
      <c r="S316" s="235"/>
      <c r="T316" s="235"/>
      <c r="U316" s="235"/>
      <c r="V316" s="236"/>
      <c r="W316" s="236"/>
      <c r="X316" s="229">
        <f t="shared" si="4"/>
        <v>1</v>
      </c>
    </row>
    <row r="317" spans="1:24">
      <c r="A317" s="233">
        <v>316</v>
      </c>
      <c r="B317" s="234" t="s">
        <v>440</v>
      </c>
      <c r="C317" s="234" t="s">
        <v>810</v>
      </c>
      <c r="D317" s="235" t="s">
        <v>1193</v>
      </c>
      <c r="E317" s="236"/>
      <c r="F317" s="236"/>
      <c r="G317" s="236"/>
      <c r="H317" s="236"/>
      <c r="I317" s="236"/>
      <c r="J317" s="236"/>
      <c r="K317" s="235" t="s">
        <v>1194</v>
      </c>
      <c r="L317" s="235"/>
      <c r="M317" s="235"/>
      <c r="N317" s="236"/>
      <c r="O317" s="236"/>
      <c r="P317" s="236"/>
      <c r="Q317" s="236"/>
      <c r="R317" s="236"/>
      <c r="S317" s="235"/>
      <c r="T317" s="235"/>
      <c r="U317" s="235"/>
      <c r="V317" s="236"/>
      <c r="W317" s="236"/>
      <c r="X317" s="229">
        <f t="shared" si="4"/>
        <v>1</v>
      </c>
    </row>
    <row r="318" spans="1:24">
      <c r="A318" s="233">
        <v>317</v>
      </c>
      <c r="B318" s="234" t="s">
        <v>440</v>
      </c>
      <c r="C318" s="234" t="s">
        <v>454</v>
      </c>
      <c r="D318" s="235" t="s">
        <v>1193</v>
      </c>
      <c r="E318" s="236"/>
      <c r="F318" s="236"/>
      <c r="G318" s="236"/>
      <c r="H318" s="236"/>
      <c r="I318" s="236"/>
      <c r="J318" s="236"/>
      <c r="K318" s="235"/>
      <c r="L318" s="235"/>
      <c r="M318" s="235"/>
      <c r="N318" s="236"/>
      <c r="O318" s="236"/>
      <c r="P318" s="236"/>
      <c r="Q318" s="236"/>
      <c r="R318" s="236"/>
      <c r="S318" s="235" t="s">
        <v>1194</v>
      </c>
      <c r="T318" s="235"/>
      <c r="U318" s="235" t="s">
        <v>1194</v>
      </c>
      <c r="V318" s="236"/>
      <c r="W318" s="236"/>
      <c r="X318" s="229">
        <f t="shared" si="4"/>
        <v>2</v>
      </c>
    </row>
    <row r="319" spans="1:24">
      <c r="A319" s="233">
        <v>318</v>
      </c>
      <c r="B319" s="234" t="s">
        <v>440</v>
      </c>
      <c r="C319" s="234" t="s">
        <v>862</v>
      </c>
      <c r="D319" s="235" t="s">
        <v>1193</v>
      </c>
      <c r="E319" s="236"/>
      <c r="F319" s="236"/>
      <c r="G319" s="236"/>
      <c r="H319" s="236"/>
      <c r="I319" s="236"/>
      <c r="J319" s="236"/>
      <c r="K319" s="235"/>
      <c r="L319" s="235"/>
      <c r="M319" s="235"/>
      <c r="N319" s="236" t="s">
        <v>1194</v>
      </c>
      <c r="O319" s="236"/>
      <c r="P319" s="236"/>
      <c r="Q319" s="236"/>
      <c r="R319" s="236"/>
      <c r="S319" s="235"/>
      <c r="T319" s="235"/>
      <c r="U319" s="235"/>
      <c r="V319" s="236"/>
      <c r="W319" s="236"/>
      <c r="X319" s="229">
        <f t="shared" si="4"/>
        <v>1</v>
      </c>
    </row>
    <row r="320" spans="1:24">
      <c r="A320" s="233">
        <v>319</v>
      </c>
      <c r="B320" s="234" t="s">
        <v>440</v>
      </c>
      <c r="C320" s="234" t="s">
        <v>460</v>
      </c>
      <c r="D320" s="235" t="s">
        <v>1193</v>
      </c>
      <c r="E320" s="236"/>
      <c r="F320" s="236"/>
      <c r="G320" s="236"/>
      <c r="H320" s="236"/>
      <c r="I320" s="236"/>
      <c r="J320" s="236"/>
      <c r="K320" s="235"/>
      <c r="L320" s="235"/>
      <c r="M320" s="235"/>
      <c r="N320" s="236"/>
      <c r="O320" s="236"/>
      <c r="P320" s="236"/>
      <c r="Q320" s="236"/>
      <c r="R320" s="236"/>
      <c r="S320" s="235"/>
      <c r="T320" s="235"/>
      <c r="U320" s="235" t="s">
        <v>1194</v>
      </c>
      <c r="V320" s="236"/>
      <c r="W320" s="236"/>
      <c r="X320" s="229">
        <f t="shared" si="4"/>
        <v>1</v>
      </c>
    </row>
    <row r="321" spans="1:24">
      <c r="A321" s="233">
        <v>320</v>
      </c>
      <c r="B321" s="234" t="s">
        <v>31</v>
      </c>
      <c r="C321" s="234" t="s">
        <v>592</v>
      </c>
      <c r="D321" s="235" t="s">
        <v>1192</v>
      </c>
      <c r="E321" s="236"/>
      <c r="F321" s="236"/>
      <c r="G321" s="236"/>
      <c r="H321" s="236" t="s">
        <v>1194</v>
      </c>
      <c r="I321" s="236" t="s">
        <v>1194</v>
      </c>
      <c r="J321" s="236"/>
      <c r="K321" s="235"/>
      <c r="L321" s="235"/>
      <c r="M321" s="235"/>
      <c r="N321" s="236"/>
      <c r="O321" s="236"/>
      <c r="P321" s="236"/>
      <c r="Q321" s="236"/>
      <c r="R321" s="236"/>
      <c r="S321" s="235"/>
      <c r="T321" s="235"/>
      <c r="U321" s="235"/>
      <c r="V321" s="236"/>
      <c r="W321" s="236"/>
      <c r="X321" s="229">
        <f t="shared" si="4"/>
        <v>2</v>
      </c>
    </row>
    <row r="322" spans="1:24">
      <c r="A322" s="233">
        <v>321</v>
      </c>
      <c r="B322" s="234" t="s">
        <v>31</v>
      </c>
      <c r="C322" s="234" t="s">
        <v>771</v>
      </c>
      <c r="D322" s="235" t="s">
        <v>1193</v>
      </c>
      <c r="E322" s="236"/>
      <c r="F322" s="236"/>
      <c r="G322" s="236"/>
      <c r="H322" s="236"/>
      <c r="I322" s="236"/>
      <c r="J322" s="236"/>
      <c r="K322" s="235"/>
      <c r="L322" s="235"/>
      <c r="M322" s="235"/>
      <c r="N322" s="236"/>
      <c r="O322" s="236" t="s">
        <v>1194</v>
      </c>
      <c r="P322" s="236" t="s">
        <v>1194</v>
      </c>
      <c r="Q322" s="236"/>
      <c r="R322" s="236"/>
      <c r="S322" s="235"/>
      <c r="T322" s="235"/>
      <c r="U322" s="235"/>
      <c r="V322" s="236"/>
      <c r="W322" s="236"/>
      <c r="X322" s="229">
        <f t="shared" si="4"/>
        <v>2</v>
      </c>
    </row>
    <row r="323" spans="1:24">
      <c r="A323" s="233">
        <v>322</v>
      </c>
      <c r="B323" s="234" t="s">
        <v>31</v>
      </c>
      <c r="C323" s="234" t="s">
        <v>70</v>
      </c>
      <c r="D323" s="235" t="s">
        <v>1192</v>
      </c>
      <c r="E323" s="236"/>
      <c r="F323" s="236"/>
      <c r="G323" s="236"/>
      <c r="H323" s="236"/>
      <c r="I323" s="236"/>
      <c r="J323" s="236"/>
      <c r="K323" s="235"/>
      <c r="L323" s="235"/>
      <c r="M323" s="235"/>
      <c r="N323" s="236"/>
      <c r="O323" s="236"/>
      <c r="P323" s="236"/>
      <c r="Q323" s="236"/>
      <c r="R323" s="236"/>
      <c r="S323" s="235"/>
      <c r="T323" s="235"/>
      <c r="U323" s="235"/>
      <c r="V323" s="236" t="s">
        <v>1194</v>
      </c>
      <c r="W323" s="236"/>
      <c r="X323" s="229">
        <f t="shared" si="4"/>
        <v>1</v>
      </c>
    </row>
    <row r="324" spans="1:24">
      <c r="A324" s="233">
        <v>323</v>
      </c>
      <c r="B324" s="234" t="s">
        <v>31</v>
      </c>
      <c r="C324" s="234" t="s">
        <v>1197</v>
      </c>
      <c r="D324" s="235" t="s">
        <v>1192</v>
      </c>
      <c r="E324" s="236"/>
      <c r="F324" s="236"/>
      <c r="G324" s="236"/>
      <c r="H324" s="236"/>
      <c r="I324" s="236"/>
      <c r="J324" s="236"/>
      <c r="K324" s="235"/>
      <c r="L324" s="235"/>
      <c r="M324" s="235"/>
      <c r="N324" s="236"/>
      <c r="O324" s="236"/>
      <c r="P324" s="236"/>
      <c r="Q324" s="236"/>
      <c r="R324" s="236"/>
      <c r="S324" s="235"/>
      <c r="T324" s="235"/>
      <c r="U324" s="235"/>
      <c r="V324" s="236" t="s">
        <v>1194</v>
      </c>
      <c r="W324" s="236"/>
      <c r="X324" s="229">
        <f t="shared" ref="X324:X360" si="5">COUNTIF(E324:W324,"x")</f>
        <v>1</v>
      </c>
    </row>
    <row r="325" spans="1:24">
      <c r="A325" s="233">
        <v>324</v>
      </c>
      <c r="B325" s="234" t="s">
        <v>31</v>
      </c>
      <c r="C325" s="234" t="s">
        <v>71</v>
      </c>
      <c r="D325" s="235" t="s">
        <v>1192</v>
      </c>
      <c r="E325" s="236"/>
      <c r="F325" s="236"/>
      <c r="G325" s="236"/>
      <c r="H325" s="236"/>
      <c r="I325" s="236"/>
      <c r="J325" s="236"/>
      <c r="K325" s="235"/>
      <c r="L325" s="235"/>
      <c r="M325" s="235"/>
      <c r="N325" s="236"/>
      <c r="O325" s="236"/>
      <c r="P325" s="236" t="s">
        <v>1194</v>
      </c>
      <c r="Q325" s="236" t="s">
        <v>1194</v>
      </c>
      <c r="R325" s="236"/>
      <c r="S325" s="235"/>
      <c r="T325" s="235"/>
      <c r="U325" s="235"/>
      <c r="V325" s="236" t="s">
        <v>1194</v>
      </c>
      <c r="W325" s="236"/>
      <c r="X325" s="229">
        <f t="shared" si="5"/>
        <v>3</v>
      </c>
    </row>
    <row r="326" spans="1:24">
      <c r="A326" s="233">
        <v>325</v>
      </c>
      <c r="B326" s="234" t="s">
        <v>31</v>
      </c>
      <c r="C326" s="234" t="s">
        <v>65</v>
      </c>
      <c r="D326" s="235" t="s">
        <v>1192</v>
      </c>
      <c r="E326" s="236"/>
      <c r="F326" s="236"/>
      <c r="G326" s="236"/>
      <c r="H326" s="236"/>
      <c r="I326" s="236"/>
      <c r="J326" s="236"/>
      <c r="K326" s="235"/>
      <c r="L326" s="235"/>
      <c r="M326" s="235"/>
      <c r="N326" s="236"/>
      <c r="O326" s="236"/>
      <c r="P326" s="236"/>
      <c r="Q326" s="236"/>
      <c r="R326" s="236"/>
      <c r="S326" s="235"/>
      <c r="T326" s="235"/>
      <c r="U326" s="235"/>
      <c r="V326" s="236" t="s">
        <v>1194</v>
      </c>
      <c r="W326" s="236"/>
      <c r="X326" s="229">
        <f t="shared" si="5"/>
        <v>1</v>
      </c>
    </row>
    <row r="327" spans="1:24">
      <c r="A327" s="233">
        <v>326</v>
      </c>
      <c r="B327" s="234" t="s">
        <v>31</v>
      </c>
      <c r="C327" s="234" t="s">
        <v>814</v>
      </c>
      <c r="D327" s="235" t="s">
        <v>1193</v>
      </c>
      <c r="E327" s="236"/>
      <c r="F327" s="236"/>
      <c r="G327" s="236"/>
      <c r="H327" s="236"/>
      <c r="I327" s="236"/>
      <c r="J327" s="236"/>
      <c r="K327" s="235"/>
      <c r="L327" s="235"/>
      <c r="M327" s="235"/>
      <c r="N327" s="236"/>
      <c r="O327" s="236" t="s">
        <v>1194</v>
      </c>
      <c r="P327" s="236"/>
      <c r="Q327" s="236"/>
      <c r="R327" s="236"/>
      <c r="S327" s="235"/>
      <c r="T327" s="235"/>
      <c r="U327" s="235"/>
      <c r="V327" s="236"/>
      <c r="W327" s="236"/>
      <c r="X327" s="229">
        <f t="shared" si="5"/>
        <v>1</v>
      </c>
    </row>
    <row r="328" spans="1:24">
      <c r="A328" s="233">
        <v>327</v>
      </c>
      <c r="B328" s="234" t="s">
        <v>31</v>
      </c>
      <c r="C328" s="234" t="s">
        <v>84</v>
      </c>
      <c r="D328" s="235" t="s">
        <v>1192</v>
      </c>
      <c r="E328" s="236"/>
      <c r="F328" s="236"/>
      <c r="G328" s="236"/>
      <c r="H328" s="236" t="s">
        <v>1194</v>
      </c>
      <c r="I328" s="236"/>
      <c r="J328" s="236" t="s">
        <v>1194</v>
      </c>
      <c r="K328" s="235"/>
      <c r="L328" s="235"/>
      <c r="M328" s="235"/>
      <c r="N328" s="236"/>
      <c r="O328" s="236"/>
      <c r="P328" s="236"/>
      <c r="Q328" s="236"/>
      <c r="R328" s="236"/>
      <c r="S328" s="235"/>
      <c r="T328" s="235"/>
      <c r="U328" s="235"/>
      <c r="V328" s="236" t="s">
        <v>1194</v>
      </c>
      <c r="W328" s="236"/>
      <c r="X328" s="229">
        <f t="shared" si="5"/>
        <v>3</v>
      </c>
    </row>
    <row r="329" spans="1:24">
      <c r="A329" s="233">
        <v>328</v>
      </c>
      <c r="B329" s="234" t="s">
        <v>31</v>
      </c>
      <c r="C329" s="234" t="s">
        <v>698</v>
      </c>
      <c r="D329" s="235" t="s">
        <v>1193</v>
      </c>
      <c r="E329" s="236"/>
      <c r="F329" s="236" t="s">
        <v>1194</v>
      </c>
      <c r="G329" s="236"/>
      <c r="H329" s="236"/>
      <c r="I329" s="236"/>
      <c r="J329" s="236"/>
      <c r="K329" s="235"/>
      <c r="L329" s="235"/>
      <c r="M329" s="235"/>
      <c r="N329" s="236"/>
      <c r="O329" s="236"/>
      <c r="P329" s="236"/>
      <c r="Q329" s="236"/>
      <c r="R329" s="236"/>
      <c r="S329" s="235"/>
      <c r="T329" s="235"/>
      <c r="U329" s="235"/>
      <c r="V329" s="236"/>
      <c r="W329" s="236"/>
      <c r="X329" s="229">
        <f t="shared" si="5"/>
        <v>1</v>
      </c>
    </row>
    <row r="330" spans="1:24">
      <c r="A330" s="233">
        <v>329</v>
      </c>
      <c r="B330" s="234" t="s">
        <v>465</v>
      </c>
      <c r="C330" s="234" t="s">
        <v>1198</v>
      </c>
      <c r="D330" s="235" t="s">
        <v>1193</v>
      </c>
      <c r="E330" s="236"/>
      <c r="F330" s="236"/>
      <c r="G330" s="236"/>
      <c r="H330" s="236"/>
      <c r="I330" s="236"/>
      <c r="J330" s="236"/>
      <c r="K330" s="235"/>
      <c r="L330" s="235"/>
      <c r="M330" s="235"/>
      <c r="N330" s="236"/>
      <c r="O330" s="236"/>
      <c r="P330" s="236"/>
      <c r="Q330" s="236"/>
      <c r="R330" s="236"/>
      <c r="S330" s="235"/>
      <c r="T330" s="235"/>
      <c r="U330" s="235" t="s">
        <v>1194</v>
      </c>
      <c r="V330" s="236"/>
      <c r="W330" s="236"/>
      <c r="X330" s="229">
        <f t="shared" si="5"/>
        <v>1</v>
      </c>
    </row>
    <row r="331" spans="1:24">
      <c r="A331" s="233">
        <v>330</v>
      </c>
      <c r="B331" s="234" t="s">
        <v>465</v>
      </c>
      <c r="C331" s="234" t="s">
        <v>470</v>
      </c>
      <c r="D331" s="235" t="s">
        <v>1192</v>
      </c>
      <c r="E331" s="236"/>
      <c r="F331" s="236"/>
      <c r="G331" s="236"/>
      <c r="H331" s="236"/>
      <c r="I331" s="236"/>
      <c r="J331" s="236"/>
      <c r="K331" s="235"/>
      <c r="L331" s="235"/>
      <c r="M331" s="235"/>
      <c r="N331" s="236"/>
      <c r="O331" s="236"/>
      <c r="P331" s="236"/>
      <c r="Q331" s="236"/>
      <c r="R331" s="236"/>
      <c r="S331" s="235"/>
      <c r="T331" s="235"/>
      <c r="U331" s="235" t="s">
        <v>1194</v>
      </c>
      <c r="V331" s="236"/>
      <c r="W331" s="236"/>
      <c r="X331" s="229">
        <f t="shared" si="5"/>
        <v>1</v>
      </c>
    </row>
    <row r="332" spans="1:24">
      <c r="A332" s="233">
        <v>331</v>
      </c>
      <c r="B332" s="234" t="s">
        <v>465</v>
      </c>
      <c r="C332" s="234" t="s">
        <v>471</v>
      </c>
      <c r="D332" s="235" t="s">
        <v>1192</v>
      </c>
      <c r="E332" s="236"/>
      <c r="F332" s="236"/>
      <c r="G332" s="236"/>
      <c r="H332" s="236"/>
      <c r="I332" s="236"/>
      <c r="J332" s="236"/>
      <c r="K332" s="235"/>
      <c r="L332" s="235"/>
      <c r="M332" s="235"/>
      <c r="N332" s="236"/>
      <c r="O332" s="236"/>
      <c r="P332" s="236"/>
      <c r="Q332" s="236"/>
      <c r="R332" s="236"/>
      <c r="S332" s="235"/>
      <c r="T332" s="235"/>
      <c r="U332" s="235" t="s">
        <v>1194</v>
      </c>
      <c r="V332" s="236"/>
      <c r="W332" s="236"/>
      <c r="X332" s="229">
        <f t="shared" si="5"/>
        <v>1</v>
      </c>
    </row>
    <row r="333" spans="1:24">
      <c r="A333" s="233">
        <v>332</v>
      </c>
      <c r="B333" s="234" t="s">
        <v>465</v>
      </c>
      <c r="C333" s="234" t="s">
        <v>1199</v>
      </c>
      <c r="D333" s="235" t="s">
        <v>1193</v>
      </c>
      <c r="E333" s="236"/>
      <c r="F333" s="236"/>
      <c r="G333" s="236"/>
      <c r="H333" s="236"/>
      <c r="I333" s="236"/>
      <c r="J333" s="236"/>
      <c r="K333" s="235"/>
      <c r="L333" s="235"/>
      <c r="M333" s="235"/>
      <c r="N333" s="236"/>
      <c r="O333" s="236"/>
      <c r="P333" s="236"/>
      <c r="Q333" s="236"/>
      <c r="R333" s="236"/>
      <c r="S333" s="235"/>
      <c r="T333" s="235"/>
      <c r="U333" s="235" t="s">
        <v>1194</v>
      </c>
      <c r="V333" s="236"/>
      <c r="W333" s="236"/>
      <c r="X333" s="229">
        <f t="shared" si="5"/>
        <v>1</v>
      </c>
    </row>
    <row r="334" spans="1:24">
      <c r="A334" s="233">
        <v>333</v>
      </c>
      <c r="B334" s="234" t="s">
        <v>465</v>
      </c>
      <c r="C334" s="234" t="s">
        <v>1200</v>
      </c>
      <c r="D334" s="235" t="s">
        <v>1192</v>
      </c>
      <c r="E334" s="236"/>
      <c r="F334" s="236"/>
      <c r="G334" s="236"/>
      <c r="H334" s="236"/>
      <c r="I334" s="236"/>
      <c r="J334" s="236"/>
      <c r="K334" s="235"/>
      <c r="L334" s="235"/>
      <c r="M334" s="235"/>
      <c r="N334" s="236"/>
      <c r="O334" s="236"/>
      <c r="P334" s="236"/>
      <c r="Q334" s="236"/>
      <c r="R334" s="236"/>
      <c r="S334" s="235"/>
      <c r="T334" s="235"/>
      <c r="U334" s="235" t="s">
        <v>1194</v>
      </c>
      <c r="V334" s="236"/>
      <c r="W334" s="236"/>
      <c r="X334" s="229">
        <f t="shared" si="5"/>
        <v>1</v>
      </c>
    </row>
    <row r="335" spans="1:24">
      <c r="A335" s="233">
        <v>334</v>
      </c>
      <c r="B335" s="234" t="s">
        <v>465</v>
      </c>
      <c r="C335" s="234" t="s">
        <v>468</v>
      </c>
      <c r="D335" s="235" t="s">
        <v>1193</v>
      </c>
      <c r="E335" s="236"/>
      <c r="F335" s="236"/>
      <c r="G335" s="236"/>
      <c r="H335" s="236"/>
      <c r="I335" s="236"/>
      <c r="J335" s="236"/>
      <c r="K335" s="235"/>
      <c r="L335" s="235" t="s">
        <v>1194</v>
      </c>
      <c r="M335" s="235"/>
      <c r="N335" s="236"/>
      <c r="O335" s="236"/>
      <c r="P335" s="236"/>
      <c r="Q335" s="236"/>
      <c r="R335" s="236"/>
      <c r="S335" s="235"/>
      <c r="T335" s="235"/>
      <c r="U335" s="235" t="s">
        <v>1194</v>
      </c>
      <c r="V335" s="236"/>
      <c r="W335" s="236"/>
      <c r="X335" s="229">
        <f t="shared" si="5"/>
        <v>2</v>
      </c>
    </row>
    <row r="336" spans="1:24">
      <c r="A336" s="233">
        <v>335</v>
      </c>
      <c r="B336" s="234" t="s">
        <v>465</v>
      </c>
      <c r="C336" s="234" t="s">
        <v>1201</v>
      </c>
      <c r="D336" s="235" t="s">
        <v>1193</v>
      </c>
      <c r="E336" s="236"/>
      <c r="F336" s="236"/>
      <c r="G336" s="236"/>
      <c r="H336" s="236"/>
      <c r="I336" s="236"/>
      <c r="J336" s="236"/>
      <c r="K336" s="235"/>
      <c r="L336" s="235"/>
      <c r="M336" s="235"/>
      <c r="N336" s="236"/>
      <c r="O336" s="236"/>
      <c r="P336" s="236"/>
      <c r="Q336" s="236"/>
      <c r="R336" s="236"/>
      <c r="S336" s="235"/>
      <c r="T336" s="235"/>
      <c r="U336" s="235" t="s">
        <v>1194</v>
      </c>
      <c r="V336" s="236"/>
      <c r="W336" s="236"/>
      <c r="X336" s="229">
        <f t="shared" si="5"/>
        <v>1</v>
      </c>
    </row>
    <row r="337" spans="1:24">
      <c r="A337" s="233">
        <v>336</v>
      </c>
      <c r="B337" s="234" t="s">
        <v>465</v>
      </c>
      <c r="C337" s="234" t="s">
        <v>1202</v>
      </c>
      <c r="D337" s="235" t="s">
        <v>1192</v>
      </c>
      <c r="E337" s="236"/>
      <c r="F337" s="236"/>
      <c r="G337" s="236"/>
      <c r="H337" s="236"/>
      <c r="I337" s="236"/>
      <c r="J337" s="236"/>
      <c r="K337" s="235"/>
      <c r="L337" s="235"/>
      <c r="M337" s="235"/>
      <c r="N337" s="236"/>
      <c r="O337" s="236"/>
      <c r="P337" s="236"/>
      <c r="Q337" s="236"/>
      <c r="R337" s="236"/>
      <c r="S337" s="235"/>
      <c r="T337" s="235"/>
      <c r="U337" s="235" t="s">
        <v>1194</v>
      </c>
      <c r="V337" s="236"/>
      <c r="W337" s="236"/>
      <c r="X337" s="229">
        <f t="shared" si="5"/>
        <v>1</v>
      </c>
    </row>
    <row r="338" spans="1:24">
      <c r="A338" s="233">
        <v>337</v>
      </c>
      <c r="B338" s="234" t="s">
        <v>465</v>
      </c>
      <c r="C338" s="234" t="s">
        <v>1203</v>
      </c>
      <c r="D338" s="235" t="s">
        <v>1193</v>
      </c>
      <c r="E338" s="236"/>
      <c r="F338" s="236"/>
      <c r="G338" s="236"/>
      <c r="H338" s="236"/>
      <c r="I338" s="236"/>
      <c r="J338" s="236"/>
      <c r="K338" s="235"/>
      <c r="L338" s="235"/>
      <c r="M338" s="235"/>
      <c r="N338" s="236"/>
      <c r="O338" s="236"/>
      <c r="P338" s="236"/>
      <c r="Q338" s="236"/>
      <c r="R338" s="236"/>
      <c r="S338" s="235"/>
      <c r="T338" s="235"/>
      <c r="U338" s="235" t="s">
        <v>1194</v>
      </c>
      <c r="V338" s="236"/>
      <c r="W338" s="236"/>
      <c r="X338" s="229">
        <f t="shared" si="5"/>
        <v>1</v>
      </c>
    </row>
    <row r="339" spans="1:24">
      <c r="A339" s="233">
        <v>338</v>
      </c>
      <c r="B339" s="234" t="s">
        <v>465</v>
      </c>
      <c r="C339" s="234" t="s">
        <v>467</v>
      </c>
      <c r="D339" s="235" t="s">
        <v>1192</v>
      </c>
      <c r="E339" s="236"/>
      <c r="F339" s="236"/>
      <c r="G339" s="236"/>
      <c r="H339" s="236"/>
      <c r="I339" s="236"/>
      <c r="J339" s="236"/>
      <c r="K339" s="235"/>
      <c r="L339" s="235" t="s">
        <v>1194</v>
      </c>
      <c r="M339" s="235"/>
      <c r="N339" s="236"/>
      <c r="O339" s="236"/>
      <c r="P339" s="236"/>
      <c r="Q339" s="236"/>
      <c r="R339" s="236"/>
      <c r="S339" s="235"/>
      <c r="T339" s="235"/>
      <c r="U339" s="235" t="s">
        <v>1194</v>
      </c>
      <c r="V339" s="236"/>
      <c r="W339" s="236"/>
      <c r="X339" s="229">
        <f t="shared" si="5"/>
        <v>2</v>
      </c>
    </row>
    <row r="340" spans="1:24">
      <c r="A340" s="233">
        <v>339</v>
      </c>
      <c r="B340" s="234" t="s">
        <v>465</v>
      </c>
      <c r="C340" s="234" t="s">
        <v>464</v>
      </c>
      <c r="D340" s="235" t="s">
        <v>1192</v>
      </c>
      <c r="E340" s="236"/>
      <c r="F340" s="236"/>
      <c r="G340" s="236"/>
      <c r="H340" s="236"/>
      <c r="I340" s="236"/>
      <c r="J340" s="236"/>
      <c r="K340" s="235"/>
      <c r="L340" s="235"/>
      <c r="M340" s="235"/>
      <c r="N340" s="236"/>
      <c r="O340" s="236"/>
      <c r="P340" s="236"/>
      <c r="Q340" s="236"/>
      <c r="R340" s="236"/>
      <c r="S340" s="235"/>
      <c r="T340" s="235"/>
      <c r="U340" s="235" t="s">
        <v>1194</v>
      </c>
      <c r="V340" s="236"/>
      <c r="W340" s="236"/>
      <c r="X340" s="229">
        <f t="shared" si="5"/>
        <v>1</v>
      </c>
    </row>
    <row r="341" spans="1:24">
      <c r="A341" s="233">
        <v>340</v>
      </c>
      <c r="B341" s="234" t="s">
        <v>286</v>
      </c>
      <c r="C341" s="234" t="s">
        <v>314</v>
      </c>
      <c r="D341" s="235" t="s">
        <v>1192</v>
      </c>
      <c r="E341" s="236"/>
      <c r="F341" s="236"/>
      <c r="G341" s="236"/>
      <c r="H341" s="236"/>
      <c r="I341" s="236"/>
      <c r="J341" s="236"/>
      <c r="K341" s="235"/>
      <c r="L341" s="235"/>
      <c r="M341" s="235"/>
      <c r="N341" s="236"/>
      <c r="O341" s="236"/>
      <c r="P341" s="236"/>
      <c r="Q341" s="236"/>
      <c r="R341" s="236"/>
      <c r="S341" s="235"/>
      <c r="T341" s="235"/>
      <c r="U341" s="235"/>
      <c r="V341" s="236" t="s">
        <v>1194</v>
      </c>
      <c r="W341" s="236"/>
      <c r="X341" s="229">
        <f t="shared" si="5"/>
        <v>1</v>
      </c>
    </row>
    <row r="342" spans="1:24">
      <c r="A342" s="233">
        <v>341</v>
      </c>
      <c r="B342" s="234" t="s">
        <v>286</v>
      </c>
      <c r="C342" s="234" t="s">
        <v>324</v>
      </c>
      <c r="D342" s="235" t="s">
        <v>1192</v>
      </c>
      <c r="E342" s="236"/>
      <c r="F342" s="236"/>
      <c r="G342" s="236"/>
      <c r="H342" s="236"/>
      <c r="I342" s="236"/>
      <c r="J342" s="236"/>
      <c r="K342" s="235"/>
      <c r="L342" s="235"/>
      <c r="M342" s="235"/>
      <c r="N342" s="236"/>
      <c r="O342" s="236"/>
      <c r="P342" s="236"/>
      <c r="Q342" s="236"/>
      <c r="R342" s="236"/>
      <c r="S342" s="235"/>
      <c r="T342" s="235"/>
      <c r="U342" s="235"/>
      <c r="V342" s="236" t="s">
        <v>1194</v>
      </c>
      <c r="W342" s="236"/>
      <c r="X342" s="229">
        <f t="shared" si="5"/>
        <v>1</v>
      </c>
    </row>
    <row r="343" spans="1:24">
      <c r="A343" s="233">
        <v>342</v>
      </c>
      <c r="B343" s="234" t="s">
        <v>286</v>
      </c>
      <c r="C343" s="234" t="s">
        <v>288</v>
      </c>
      <c r="D343" s="235" t="s">
        <v>1192</v>
      </c>
      <c r="E343" s="236"/>
      <c r="F343" s="236"/>
      <c r="G343" s="236"/>
      <c r="H343" s="236"/>
      <c r="I343" s="236"/>
      <c r="J343" s="236"/>
      <c r="K343" s="235"/>
      <c r="L343" s="235"/>
      <c r="M343" s="235"/>
      <c r="N343" s="236"/>
      <c r="O343" s="236"/>
      <c r="P343" s="236"/>
      <c r="Q343" s="236"/>
      <c r="R343" s="236"/>
      <c r="S343" s="235"/>
      <c r="T343" s="235"/>
      <c r="U343" s="235"/>
      <c r="V343" s="236" t="s">
        <v>1194</v>
      </c>
      <c r="W343" s="236"/>
      <c r="X343" s="229">
        <f t="shared" si="5"/>
        <v>1</v>
      </c>
    </row>
    <row r="344" spans="1:24">
      <c r="A344" s="233">
        <v>343</v>
      </c>
      <c r="B344" s="234" t="s">
        <v>286</v>
      </c>
      <c r="C344" s="234" t="s">
        <v>422</v>
      </c>
      <c r="D344" s="235" t="s">
        <v>1192</v>
      </c>
      <c r="E344" s="236"/>
      <c r="F344" s="236"/>
      <c r="G344" s="236"/>
      <c r="H344" s="236"/>
      <c r="I344" s="236"/>
      <c r="J344" s="236"/>
      <c r="K344" s="235"/>
      <c r="L344" s="235"/>
      <c r="M344" s="235"/>
      <c r="N344" s="236"/>
      <c r="O344" s="236"/>
      <c r="P344" s="236"/>
      <c r="Q344" s="236"/>
      <c r="R344" s="236"/>
      <c r="S344" s="235"/>
      <c r="T344" s="235"/>
      <c r="U344" s="235" t="s">
        <v>1194</v>
      </c>
      <c r="V344" s="236"/>
      <c r="W344" s="236"/>
      <c r="X344" s="229">
        <f t="shared" si="5"/>
        <v>1</v>
      </c>
    </row>
    <row r="345" spans="1:24">
      <c r="A345" s="233">
        <v>344</v>
      </c>
      <c r="B345" s="234" t="s">
        <v>286</v>
      </c>
      <c r="C345" s="234" t="s">
        <v>285</v>
      </c>
      <c r="D345" s="235" t="s">
        <v>1192</v>
      </c>
      <c r="E345" s="236"/>
      <c r="F345" s="236"/>
      <c r="G345" s="236"/>
      <c r="H345" s="236"/>
      <c r="I345" s="236"/>
      <c r="J345" s="236"/>
      <c r="K345" s="235"/>
      <c r="L345" s="235"/>
      <c r="M345" s="235"/>
      <c r="N345" s="236"/>
      <c r="O345" s="236"/>
      <c r="P345" s="236"/>
      <c r="Q345" s="236"/>
      <c r="R345" s="236"/>
      <c r="S345" s="235"/>
      <c r="T345" s="235"/>
      <c r="U345" s="235"/>
      <c r="V345" s="236" t="s">
        <v>1194</v>
      </c>
      <c r="W345" s="236"/>
      <c r="X345" s="229">
        <f t="shared" si="5"/>
        <v>1</v>
      </c>
    </row>
    <row r="346" spans="1:24">
      <c r="A346" s="233">
        <v>345</v>
      </c>
      <c r="B346" s="234" t="s">
        <v>286</v>
      </c>
      <c r="C346" s="234" t="s">
        <v>303</v>
      </c>
      <c r="D346" s="235" t="s">
        <v>1192</v>
      </c>
      <c r="E346" s="236"/>
      <c r="F346" s="236"/>
      <c r="G346" s="236"/>
      <c r="H346" s="236"/>
      <c r="I346" s="236"/>
      <c r="J346" s="236"/>
      <c r="K346" s="235"/>
      <c r="L346" s="235"/>
      <c r="M346" s="235"/>
      <c r="N346" s="236"/>
      <c r="O346" s="236"/>
      <c r="P346" s="236"/>
      <c r="Q346" s="236"/>
      <c r="R346" s="236"/>
      <c r="S346" s="235"/>
      <c r="T346" s="235"/>
      <c r="U346" s="235"/>
      <c r="V346" s="236" t="s">
        <v>1194</v>
      </c>
      <c r="W346" s="236"/>
      <c r="X346" s="229">
        <f t="shared" si="5"/>
        <v>1</v>
      </c>
    </row>
    <row r="347" spans="1:24">
      <c r="A347" s="233">
        <v>346</v>
      </c>
      <c r="B347" s="234" t="s">
        <v>286</v>
      </c>
      <c r="C347" s="234" t="s">
        <v>420</v>
      </c>
      <c r="D347" s="235" t="s">
        <v>1192</v>
      </c>
      <c r="E347" s="236"/>
      <c r="F347" s="236"/>
      <c r="G347" s="236"/>
      <c r="H347" s="236"/>
      <c r="I347" s="236"/>
      <c r="J347" s="236"/>
      <c r="K347" s="235"/>
      <c r="L347" s="235"/>
      <c r="M347" s="235"/>
      <c r="N347" s="236"/>
      <c r="O347" s="236"/>
      <c r="P347" s="236"/>
      <c r="Q347" s="236"/>
      <c r="R347" s="236"/>
      <c r="S347" s="235"/>
      <c r="T347" s="235"/>
      <c r="U347" s="235" t="s">
        <v>1194</v>
      </c>
      <c r="V347" s="236"/>
      <c r="W347" s="236"/>
      <c r="X347" s="229">
        <f t="shared" si="5"/>
        <v>1</v>
      </c>
    </row>
    <row r="348" spans="1:24">
      <c r="A348" s="233">
        <v>347</v>
      </c>
      <c r="B348" s="234" t="s">
        <v>286</v>
      </c>
      <c r="C348" s="234" t="s">
        <v>308</v>
      </c>
      <c r="D348" s="235" t="s">
        <v>1192</v>
      </c>
      <c r="E348" s="236"/>
      <c r="F348" s="236"/>
      <c r="G348" s="236"/>
      <c r="H348" s="236"/>
      <c r="I348" s="236"/>
      <c r="J348" s="236"/>
      <c r="K348" s="235"/>
      <c r="L348" s="235"/>
      <c r="M348" s="235"/>
      <c r="N348" s="236"/>
      <c r="O348" s="236"/>
      <c r="P348" s="236"/>
      <c r="Q348" s="236"/>
      <c r="R348" s="236"/>
      <c r="S348" s="235"/>
      <c r="T348" s="235"/>
      <c r="U348" s="235"/>
      <c r="V348" s="236" t="s">
        <v>1194</v>
      </c>
      <c r="W348" s="236"/>
      <c r="X348" s="229">
        <f t="shared" si="5"/>
        <v>1</v>
      </c>
    </row>
    <row r="349" spans="1:24">
      <c r="A349" s="233">
        <v>348</v>
      </c>
      <c r="B349" s="234" t="s">
        <v>286</v>
      </c>
      <c r="C349" s="234" t="s">
        <v>423</v>
      </c>
      <c r="D349" s="235" t="s">
        <v>1193</v>
      </c>
      <c r="E349" s="236"/>
      <c r="F349" s="236"/>
      <c r="G349" s="236"/>
      <c r="H349" s="236"/>
      <c r="I349" s="236"/>
      <c r="J349" s="236"/>
      <c r="K349" s="235"/>
      <c r="L349" s="235"/>
      <c r="M349" s="235"/>
      <c r="N349" s="236"/>
      <c r="O349" s="236"/>
      <c r="P349" s="236"/>
      <c r="Q349" s="236"/>
      <c r="R349" s="236"/>
      <c r="S349" s="235"/>
      <c r="T349" s="235"/>
      <c r="U349" s="235" t="s">
        <v>1194</v>
      </c>
      <c r="V349" s="236"/>
      <c r="W349" s="236"/>
      <c r="X349" s="229">
        <f t="shared" si="5"/>
        <v>1</v>
      </c>
    </row>
    <row r="350" spans="1:24">
      <c r="A350" s="233">
        <v>349</v>
      </c>
      <c r="B350" s="234" t="s">
        <v>286</v>
      </c>
      <c r="C350" s="234" t="s">
        <v>325</v>
      </c>
      <c r="D350" s="235" t="s">
        <v>1192</v>
      </c>
      <c r="E350" s="236"/>
      <c r="F350" s="236"/>
      <c r="G350" s="236"/>
      <c r="H350" s="236"/>
      <c r="I350" s="236"/>
      <c r="J350" s="236"/>
      <c r="K350" s="235"/>
      <c r="L350" s="235"/>
      <c r="M350" s="235"/>
      <c r="N350" s="236"/>
      <c r="O350" s="236"/>
      <c r="P350" s="236"/>
      <c r="Q350" s="236"/>
      <c r="R350" s="236"/>
      <c r="S350" s="235"/>
      <c r="T350" s="235"/>
      <c r="U350" s="235"/>
      <c r="V350" s="236" t="s">
        <v>1194</v>
      </c>
      <c r="W350" s="236"/>
      <c r="X350" s="229">
        <f t="shared" si="5"/>
        <v>1</v>
      </c>
    </row>
    <row r="351" spans="1:24">
      <c r="A351" s="233">
        <v>350</v>
      </c>
      <c r="B351" s="234" t="s">
        <v>286</v>
      </c>
      <c r="C351" s="234" t="s">
        <v>421</v>
      </c>
      <c r="D351" s="235" t="s">
        <v>1192</v>
      </c>
      <c r="E351" s="236"/>
      <c r="F351" s="236"/>
      <c r="G351" s="236"/>
      <c r="H351" s="236"/>
      <c r="I351" s="236"/>
      <c r="J351" s="236"/>
      <c r="K351" s="235"/>
      <c r="L351" s="235"/>
      <c r="M351" s="235"/>
      <c r="N351" s="236"/>
      <c r="O351" s="236"/>
      <c r="P351" s="236"/>
      <c r="Q351" s="236"/>
      <c r="R351" s="236"/>
      <c r="S351" s="235"/>
      <c r="T351" s="235"/>
      <c r="U351" s="235" t="s">
        <v>1194</v>
      </c>
      <c r="V351" s="236"/>
      <c r="W351" s="236"/>
      <c r="X351" s="229">
        <f t="shared" si="5"/>
        <v>1</v>
      </c>
    </row>
    <row r="352" spans="1:24">
      <c r="A352" s="233">
        <v>351</v>
      </c>
      <c r="B352" s="234" t="s">
        <v>286</v>
      </c>
      <c r="C352" s="234" t="s">
        <v>296</v>
      </c>
      <c r="D352" s="235" t="s">
        <v>1192</v>
      </c>
      <c r="E352" s="236"/>
      <c r="F352" s="236"/>
      <c r="G352" s="236"/>
      <c r="H352" s="236"/>
      <c r="I352" s="236"/>
      <c r="J352" s="236"/>
      <c r="K352" s="235"/>
      <c r="L352" s="235"/>
      <c r="M352" s="235"/>
      <c r="N352" s="236"/>
      <c r="O352" s="236"/>
      <c r="P352" s="236"/>
      <c r="Q352" s="236"/>
      <c r="R352" s="236"/>
      <c r="S352" s="235"/>
      <c r="T352" s="235"/>
      <c r="U352" s="235"/>
      <c r="V352" s="236" t="s">
        <v>1194</v>
      </c>
      <c r="W352" s="236"/>
      <c r="X352" s="229">
        <f t="shared" si="5"/>
        <v>1</v>
      </c>
    </row>
    <row r="353" spans="1:24">
      <c r="A353" s="233">
        <v>352</v>
      </c>
      <c r="B353" s="234" t="s">
        <v>286</v>
      </c>
      <c r="C353" s="234" t="s">
        <v>319</v>
      </c>
      <c r="D353" s="235" t="s">
        <v>1192</v>
      </c>
      <c r="E353" s="236"/>
      <c r="F353" s="236"/>
      <c r="G353" s="236"/>
      <c r="H353" s="236"/>
      <c r="I353" s="236"/>
      <c r="J353" s="236"/>
      <c r="K353" s="235"/>
      <c r="L353" s="235"/>
      <c r="M353" s="235"/>
      <c r="N353" s="236"/>
      <c r="O353" s="236"/>
      <c r="P353" s="236"/>
      <c r="Q353" s="236"/>
      <c r="R353" s="236"/>
      <c r="S353" s="235"/>
      <c r="T353" s="235"/>
      <c r="U353" s="235"/>
      <c r="V353" s="236" t="s">
        <v>1194</v>
      </c>
      <c r="W353" s="236"/>
      <c r="X353" s="229">
        <f t="shared" si="5"/>
        <v>1</v>
      </c>
    </row>
    <row r="354" spans="1:24">
      <c r="A354" s="233">
        <v>353</v>
      </c>
      <c r="B354" s="234" t="s">
        <v>286</v>
      </c>
      <c r="C354" s="234" t="s">
        <v>419</v>
      </c>
      <c r="D354" s="235" t="s">
        <v>1192</v>
      </c>
      <c r="E354" s="236"/>
      <c r="F354" s="236"/>
      <c r="G354" s="236"/>
      <c r="H354" s="236"/>
      <c r="I354" s="236"/>
      <c r="J354" s="236" t="s">
        <v>1194</v>
      </c>
      <c r="K354" s="235"/>
      <c r="L354" s="235"/>
      <c r="M354" s="235"/>
      <c r="N354" s="236"/>
      <c r="O354" s="236"/>
      <c r="P354" s="236"/>
      <c r="Q354" s="236"/>
      <c r="R354" s="236"/>
      <c r="S354" s="235"/>
      <c r="T354" s="235"/>
      <c r="U354" s="235" t="s">
        <v>1194</v>
      </c>
      <c r="V354" s="236"/>
      <c r="W354" s="236"/>
      <c r="X354" s="229">
        <f t="shared" si="5"/>
        <v>2</v>
      </c>
    </row>
    <row r="355" spans="1:24">
      <c r="A355" s="233">
        <v>354</v>
      </c>
      <c r="B355" s="234" t="s">
        <v>286</v>
      </c>
      <c r="C355" s="234" t="s">
        <v>424</v>
      </c>
      <c r="D355" s="235" t="s">
        <v>1193</v>
      </c>
      <c r="E355" s="236"/>
      <c r="F355" s="236"/>
      <c r="G355" s="236"/>
      <c r="H355" s="236"/>
      <c r="I355" s="236"/>
      <c r="J355" s="236"/>
      <c r="K355" s="235"/>
      <c r="L355" s="235"/>
      <c r="M355" s="235"/>
      <c r="N355" s="236"/>
      <c r="O355" s="236"/>
      <c r="P355" s="236"/>
      <c r="Q355" s="236"/>
      <c r="R355" s="236"/>
      <c r="S355" s="235"/>
      <c r="T355" s="235"/>
      <c r="U355" s="235" t="s">
        <v>1194</v>
      </c>
      <c r="V355" s="236"/>
      <c r="W355" s="236"/>
      <c r="X355" s="229">
        <f t="shared" si="5"/>
        <v>1</v>
      </c>
    </row>
    <row r="356" spans="1:24">
      <c r="A356" s="233">
        <v>355</v>
      </c>
      <c r="B356" s="234" t="s">
        <v>360</v>
      </c>
      <c r="C356" s="234" t="s">
        <v>359</v>
      </c>
      <c r="D356" s="235" t="s">
        <v>1192</v>
      </c>
      <c r="E356" s="236"/>
      <c r="F356" s="236"/>
      <c r="G356" s="236"/>
      <c r="H356" s="236"/>
      <c r="I356" s="236"/>
      <c r="J356" s="236"/>
      <c r="K356" s="235"/>
      <c r="L356" s="235"/>
      <c r="M356" s="235"/>
      <c r="N356" s="236"/>
      <c r="O356" s="236"/>
      <c r="P356" s="236"/>
      <c r="Q356" s="236"/>
      <c r="R356" s="236"/>
      <c r="S356" s="235"/>
      <c r="T356" s="235"/>
      <c r="U356" s="235"/>
      <c r="V356" s="236" t="s">
        <v>1194</v>
      </c>
      <c r="W356" s="236"/>
      <c r="X356" s="229">
        <f t="shared" si="5"/>
        <v>1</v>
      </c>
    </row>
    <row r="357" spans="1:24">
      <c r="A357" s="233">
        <v>356</v>
      </c>
      <c r="B357" s="234" t="s">
        <v>360</v>
      </c>
      <c r="C357" s="234" t="s">
        <v>361</v>
      </c>
      <c r="D357" s="235" t="s">
        <v>1192</v>
      </c>
      <c r="E357" s="236"/>
      <c r="F357" s="236"/>
      <c r="G357" s="236"/>
      <c r="H357" s="236"/>
      <c r="I357" s="236"/>
      <c r="J357" s="236"/>
      <c r="K357" s="235"/>
      <c r="L357" s="235"/>
      <c r="M357" s="235"/>
      <c r="N357" s="236"/>
      <c r="O357" s="236"/>
      <c r="P357" s="236"/>
      <c r="Q357" s="236"/>
      <c r="R357" s="236"/>
      <c r="S357" s="235"/>
      <c r="T357" s="235"/>
      <c r="U357" s="235"/>
      <c r="V357" s="236" t="s">
        <v>1194</v>
      </c>
      <c r="W357" s="236"/>
      <c r="X357" s="229">
        <f t="shared" si="5"/>
        <v>1</v>
      </c>
    </row>
    <row r="358" spans="1:24">
      <c r="A358" s="233">
        <v>357</v>
      </c>
      <c r="B358" s="234" t="s">
        <v>176</v>
      </c>
      <c r="C358" s="234" t="s">
        <v>175</v>
      </c>
      <c r="D358" s="235" t="s">
        <v>1193</v>
      </c>
      <c r="E358" s="236"/>
      <c r="F358" s="236"/>
      <c r="G358" s="236"/>
      <c r="H358" s="236"/>
      <c r="I358" s="236"/>
      <c r="J358" s="236"/>
      <c r="K358" s="235"/>
      <c r="L358" s="235"/>
      <c r="M358" s="235"/>
      <c r="N358" s="236"/>
      <c r="O358" s="236"/>
      <c r="P358" s="236"/>
      <c r="Q358" s="236"/>
      <c r="R358" s="236"/>
      <c r="S358" s="235"/>
      <c r="T358" s="235"/>
      <c r="U358" s="235"/>
      <c r="V358" s="236"/>
      <c r="W358" s="236" t="s">
        <v>1194</v>
      </c>
      <c r="X358" s="229">
        <f t="shared" si="5"/>
        <v>1</v>
      </c>
    </row>
    <row r="359" spans="1:24">
      <c r="A359" s="233">
        <v>358</v>
      </c>
      <c r="B359" s="234" t="s">
        <v>176</v>
      </c>
      <c r="C359" s="234" t="s">
        <v>179</v>
      </c>
      <c r="D359" s="235" t="s">
        <v>1193</v>
      </c>
      <c r="E359" s="236"/>
      <c r="F359" s="236"/>
      <c r="G359" s="236"/>
      <c r="H359" s="236"/>
      <c r="I359" s="236"/>
      <c r="J359" s="236"/>
      <c r="K359" s="235"/>
      <c r="L359" s="235"/>
      <c r="M359" s="235"/>
      <c r="N359" s="236"/>
      <c r="O359" s="236"/>
      <c r="P359" s="236"/>
      <c r="Q359" s="236"/>
      <c r="R359" s="236"/>
      <c r="S359" s="235"/>
      <c r="T359" s="235"/>
      <c r="U359" s="235"/>
      <c r="V359" s="236"/>
      <c r="W359" s="236" t="s">
        <v>1194</v>
      </c>
      <c r="X359" s="229">
        <f t="shared" si="5"/>
        <v>1</v>
      </c>
    </row>
    <row r="360" spans="1:24" ht="15.75" thickBot="1">
      <c r="A360" s="233">
        <v>359</v>
      </c>
      <c r="B360" s="237" t="s">
        <v>176</v>
      </c>
      <c r="C360" s="237" t="s">
        <v>185</v>
      </c>
      <c r="D360" s="238" t="s">
        <v>1193</v>
      </c>
      <c r="E360" s="239"/>
      <c r="F360" s="239"/>
      <c r="G360" s="239"/>
      <c r="H360" s="239"/>
      <c r="I360" s="239"/>
      <c r="J360" s="239"/>
      <c r="K360" s="238"/>
      <c r="L360" s="238"/>
      <c r="M360" s="238"/>
      <c r="N360" s="239"/>
      <c r="O360" s="239"/>
      <c r="P360" s="239"/>
      <c r="Q360" s="239"/>
      <c r="R360" s="239"/>
      <c r="S360" s="238"/>
      <c r="T360" s="238"/>
      <c r="U360" s="238"/>
      <c r="V360" s="239"/>
      <c r="W360" s="239" t="s">
        <v>1194</v>
      </c>
      <c r="X360" s="229">
        <f t="shared" si="5"/>
        <v>1</v>
      </c>
    </row>
    <row r="361" spans="1:24">
      <c r="A361" s="229"/>
      <c r="B361" s="229"/>
      <c r="C361" s="229"/>
      <c r="D361" s="229"/>
      <c r="E361" s="240"/>
      <c r="F361" s="240"/>
      <c r="G361" s="240"/>
      <c r="H361" s="240"/>
      <c r="I361" s="240"/>
      <c r="J361" s="240"/>
      <c r="K361" s="229"/>
      <c r="L361" s="229"/>
      <c r="M361" s="229"/>
      <c r="N361" s="240"/>
      <c r="O361" s="240"/>
      <c r="P361" s="240"/>
      <c r="Q361" s="240"/>
      <c r="R361" s="240"/>
      <c r="S361" s="229"/>
      <c r="T361" s="229"/>
      <c r="U361" s="229"/>
      <c r="V361" s="240"/>
      <c r="W361" s="240"/>
      <c r="X361" s="229"/>
    </row>
  </sheetData>
  <autoFilter ref="A2:X360" xr:uid="{00000000-0009-0000-0000-000004000000}"/>
  <mergeCells count="7">
    <mergeCell ref="X1:X2"/>
    <mergeCell ref="E1:J1"/>
    <mergeCell ref="K1:M1"/>
    <mergeCell ref="N1:R1"/>
    <mergeCell ref="S1:T1"/>
    <mergeCell ref="U1:U2"/>
    <mergeCell ref="V1:W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992"/>
  <sheetViews>
    <sheetView workbookViewId="0">
      <pane ySplit="5" topLeftCell="A6" activePane="bottomLeft" state="frozen"/>
      <selection activeCell="A9" sqref="A9:XFD10"/>
      <selection pane="bottomLeft" activeCell="B20" sqref="B20"/>
    </sheetView>
  </sheetViews>
  <sheetFormatPr defaultColWidth="14.42578125" defaultRowHeight="15" customHeight="1"/>
  <cols>
    <col min="1" max="1" width="9.5703125" style="242" customWidth="1"/>
    <col min="2" max="2" width="21.5703125" style="242" bestFit="1" customWidth="1"/>
    <col min="3" max="3" width="34.140625" style="242" bestFit="1" customWidth="1"/>
    <col min="4" max="4" width="17.42578125" style="242" bestFit="1" customWidth="1"/>
    <col min="5" max="5" width="15.7109375" style="243" bestFit="1" customWidth="1"/>
    <col min="6" max="6" width="9.5703125" style="242" bestFit="1" customWidth="1"/>
    <col min="7" max="25" width="8.7109375" style="242" customWidth="1"/>
    <col min="26" max="16384" width="14.42578125" style="242"/>
  </cols>
  <sheetData>
    <row r="1" spans="1:25" ht="13.5" customHeight="1">
      <c r="A1" s="241" t="s">
        <v>1204</v>
      </c>
      <c r="F1" s="243"/>
    </row>
    <row r="2" spans="1:25" ht="13.5" customHeight="1">
      <c r="A2" s="241"/>
      <c r="F2" s="243"/>
    </row>
    <row r="3" spans="1:25" ht="24" customHeight="1">
      <c r="A3" s="522" t="s">
        <v>1205</v>
      </c>
      <c r="B3" s="522"/>
      <c r="C3" s="522"/>
      <c r="D3" s="522"/>
      <c r="E3" s="522"/>
      <c r="F3" s="522"/>
      <c r="G3" s="522"/>
      <c r="H3" s="522"/>
      <c r="I3" s="522"/>
    </row>
    <row r="4" spans="1:25" ht="13.5" customHeight="1">
      <c r="A4" s="244"/>
      <c r="F4" s="243"/>
    </row>
    <row r="5" spans="1:25" ht="18.600000000000001" customHeight="1">
      <c r="A5" s="245" t="s">
        <v>1</v>
      </c>
      <c r="B5" s="245" t="s">
        <v>1206</v>
      </c>
      <c r="C5" s="521" t="s">
        <v>1207</v>
      </c>
      <c r="D5" s="521"/>
      <c r="E5" s="245" t="s">
        <v>24</v>
      </c>
      <c r="F5" s="245" t="s">
        <v>1208</v>
      </c>
      <c r="G5" s="523" t="s">
        <v>1287</v>
      </c>
      <c r="H5" s="524"/>
      <c r="I5" s="525"/>
    </row>
    <row r="6" spans="1:25" ht="17.45" customHeight="1">
      <c r="A6" s="245">
        <v>2</v>
      </c>
      <c r="B6" s="247" t="s">
        <v>1209</v>
      </c>
      <c r="C6" s="245">
        <v>8</v>
      </c>
      <c r="D6" s="247"/>
      <c r="E6" s="245"/>
      <c r="F6" s="245"/>
      <c r="G6" s="247"/>
      <c r="H6" s="247"/>
      <c r="I6" s="247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</row>
    <row r="7" spans="1:25" ht="17.45" customHeight="1">
      <c r="A7" s="249">
        <v>2.7</v>
      </c>
      <c r="B7" s="246" t="s">
        <v>1210</v>
      </c>
      <c r="C7" s="246" t="s">
        <v>1211</v>
      </c>
      <c r="D7" s="246"/>
      <c r="E7" s="249" t="s">
        <v>635</v>
      </c>
      <c r="F7" s="249">
        <v>1</v>
      </c>
      <c r="G7" s="246">
        <v>3</v>
      </c>
      <c r="H7" s="246"/>
      <c r="I7" s="246" t="s">
        <v>105</v>
      </c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</row>
    <row r="8" spans="1:25" ht="17.45" customHeight="1">
      <c r="A8" s="250" t="s">
        <v>1212</v>
      </c>
      <c r="B8" s="246" t="s">
        <v>1210</v>
      </c>
      <c r="C8" s="246" t="s">
        <v>1213</v>
      </c>
      <c r="D8" s="246"/>
      <c r="E8" s="249" t="s">
        <v>1214</v>
      </c>
      <c r="F8" s="249">
        <v>7</v>
      </c>
      <c r="G8" s="246">
        <v>4</v>
      </c>
      <c r="H8" s="246"/>
      <c r="I8" s="246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</row>
    <row r="9" spans="1:25" ht="17.45" customHeight="1">
      <c r="A9" s="249">
        <v>2.2000000000000002</v>
      </c>
      <c r="B9" s="246"/>
      <c r="C9" s="246" t="s">
        <v>1215</v>
      </c>
      <c r="D9" s="246"/>
      <c r="E9" s="249" t="s">
        <v>622</v>
      </c>
      <c r="F9" s="249">
        <v>1</v>
      </c>
      <c r="G9" s="246"/>
      <c r="H9" s="246"/>
      <c r="I9" s="246" t="s">
        <v>109</v>
      </c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</row>
    <row r="10" spans="1:25" ht="17.45" customHeight="1">
      <c r="A10" s="249">
        <v>2.6</v>
      </c>
      <c r="B10" s="246"/>
      <c r="C10" s="246" t="s">
        <v>1216</v>
      </c>
      <c r="D10" s="246"/>
      <c r="E10" s="249" t="s">
        <v>1217</v>
      </c>
      <c r="F10" s="249">
        <v>7</v>
      </c>
      <c r="G10" s="246"/>
      <c r="H10" s="246"/>
      <c r="I10" s="246" t="s">
        <v>117</v>
      </c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</row>
    <row r="11" spans="1:25" ht="17.45" customHeight="1">
      <c r="A11" s="249">
        <v>2.2999999999999998</v>
      </c>
      <c r="B11" s="246"/>
      <c r="C11" s="246" t="s">
        <v>1218</v>
      </c>
      <c r="D11" s="246"/>
      <c r="E11" s="249" t="s">
        <v>1219</v>
      </c>
      <c r="F11" s="249">
        <v>4</v>
      </c>
      <c r="G11" s="246"/>
      <c r="H11" s="246"/>
      <c r="I11" s="246" t="s">
        <v>124</v>
      </c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</row>
    <row r="12" spans="1:25" ht="17.45" customHeight="1">
      <c r="A12" s="249">
        <v>2.8</v>
      </c>
      <c r="B12" s="246" t="s">
        <v>1210</v>
      </c>
      <c r="C12" s="246" t="s">
        <v>1220</v>
      </c>
      <c r="D12" s="246"/>
      <c r="E12" s="249" t="s">
        <v>1219</v>
      </c>
      <c r="F12" s="249">
        <v>4</v>
      </c>
      <c r="G12" s="246">
        <v>1</v>
      </c>
      <c r="H12" s="246" t="s">
        <v>111</v>
      </c>
      <c r="I12" s="246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</row>
    <row r="13" spans="1:25" ht="17.45" customHeight="1">
      <c r="A13" s="249">
        <v>2.9</v>
      </c>
      <c r="B13" s="246" t="s">
        <v>1210</v>
      </c>
      <c r="C13" s="246" t="s">
        <v>1221</v>
      </c>
      <c r="D13" s="246"/>
      <c r="E13" s="249" t="s">
        <v>557</v>
      </c>
      <c r="F13" s="249">
        <v>6</v>
      </c>
      <c r="G13" s="246">
        <v>2</v>
      </c>
      <c r="H13" s="246"/>
      <c r="I13" s="246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</row>
    <row r="14" spans="1:25" ht="17.45" customHeight="1">
      <c r="A14" s="249">
        <v>2.4</v>
      </c>
      <c r="B14" s="246"/>
      <c r="C14" s="246" t="s">
        <v>1222</v>
      </c>
      <c r="D14" s="246"/>
      <c r="E14" s="249" t="s">
        <v>1223</v>
      </c>
      <c r="F14" s="249">
        <v>4</v>
      </c>
      <c r="G14" s="246"/>
      <c r="H14" s="246" t="s">
        <v>129</v>
      </c>
      <c r="I14" s="246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</row>
    <row r="15" spans="1:25" ht="17.45" customHeight="1">
      <c r="A15" s="249">
        <v>2.1</v>
      </c>
      <c r="B15" s="246"/>
      <c r="C15" s="246" t="s">
        <v>1224</v>
      </c>
      <c r="D15" s="246"/>
      <c r="E15" s="249" t="s">
        <v>1225</v>
      </c>
      <c r="F15" s="249">
        <v>1</v>
      </c>
      <c r="G15" s="246"/>
      <c r="H15" s="246" t="s">
        <v>134</v>
      </c>
      <c r="I15" s="246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</row>
    <row r="16" spans="1:25" ht="17.45" customHeight="1">
      <c r="A16" s="249">
        <v>2.5</v>
      </c>
      <c r="B16" s="246"/>
      <c r="C16" s="246" t="s">
        <v>1226</v>
      </c>
      <c r="D16" s="246"/>
      <c r="E16" s="249" t="s">
        <v>1227</v>
      </c>
      <c r="F16" s="249">
        <v>6</v>
      </c>
      <c r="G16" s="246"/>
      <c r="H16" s="246" t="s">
        <v>374</v>
      </c>
      <c r="I16" s="246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</row>
    <row r="17" spans="1:25" ht="17.45" customHeight="1">
      <c r="A17" s="245">
        <v>3</v>
      </c>
      <c r="B17" s="247" t="s">
        <v>1228</v>
      </c>
      <c r="C17" s="245">
        <v>11</v>
      </c>
      <c r="D17" s="247" t="s">
        <v>1229</v>
      </c>
      <c r="E17" s="249"/>
      <c r="F17" s="246"/>
      <c r="G17" s="247"/>
      <c r="H17" s="247"/>
      <c r="I17" s="247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</row>
    <row r="18" spans="1:25" ht="17.45" customHeight="1">
      <c r="A18" s="249">
        <v>3.11</v>
      </c>
      <c r="B18" s="246"/>
      <c r="C18" s="246" t="s">
        <v>1230</v>
      </c>
      <c r="D18" s="246"/>
      <c r="E18" s="249" t="s">
        <v>545</v>
      </c>
      <c r="F18" s="246">
        <v>8</v>
      </c>
      <c r="G18" s="246" t="s">
        <v>105</v>
      </c>
      <c r="H18" s="247"/>
      <c r="I18" s="247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</row>
    <row r="19" spans="1:25" ht="17.45" customHeight="1">
      <c r="A19" s="249">
        <v>3.2</v>
      </c>
      <c r="B19" s="246"/>
      <c r="C19" s="246" t="s">
        <v>1231</v>
      </c>
      <c r="D19" s="246"/>
      <c r="E19" s="249" t="s">
        <v>922</v>
      </c>
      <c r="F19" s="249">
        <v>1</v>
      </c>
      <c r="G19" s="246" t="s">
        <v>109</v>
      </c>
      <c r="H19" s="246"/>
      <c r="I19" s="246"/>
    </row>
    <row r="20" spans="1:25" ht="17.45" customHeight="1">
      <c r="A20" s="249">
        <v>3.3</v>
      </c>
      <c r="B20" s="246"/>
      <c r="C20" s="246" t="s">
        <v>1232</v>
      </c>
      <c r="D20" s="246"/>
      <c r="E20" s="249" t="s">
        <v>922</v>
      </c>
      <c r="F20" s="249">
        <v>1</v>
      </c>
      <c r="G20" s="246" t="s">
        <v>117</v>
      </c>
      <c r="H20" s="246"/>
      <c r="I20" s="246"/>
    </row>
    <row r="21" spans="1:25" ht="17.45" customHeight="1">
      <c r="A21" s="249">
        <v>3.7</v>
      </c>
      <c r="B21" s="246"/>
      <c r="C21" s="246" t="s">
        <v>494</v>
      </c>
      <c r="D21" s="246"/>
      <c r="E21" s="249" t="s">
        <v>136</v>
      </c>
      <c r="F21" s="249">
        <v>1</v>
      </c>
      <c r="G21" s="246" t="s">
        <v>124</v>
      </c>
      <c r="H21" s="246"/>
      <c r="I21" s="246"/>
    </row>
    <row r="22" spans="1:25" ht="17.45" customHeight="1">
      <c r="A22" s="249">
        <v>3.8</v>
      </c>
      <c r="B22" s="246"/>
      <c r="C22" s="246" t="s">
        <v>1233</v>
      </c>
      <c r="D22" s="246"/>
      <c r="E22" s="249" t="s">
        <v>1234</v>
      </c>
      <c r="F22" s="249">
        <v>1</v>
      </c>
      <c r="G22" s="246"/>
      <c r="H22" s="246" t="s">
        <v>111</v>
      </c>
      <c r="I22" s="246"/>
    </row>
    <row r="23" spans="1:25" ht="17.45" customHeight="1">
      <c r="A23" s="249">
        <v>3.1</v>
      </c>
      <c r="B23" s="246"/>
      <c r="C23" s="246" t="s">
        <v>522</v>
      </c>
      <c r="D23" s="246"/>
      <c r="E23" s="249" t="s">
        <v>922</v>
      </c>
      <c r="F23" s="249">
        <v>1</v>
      </c>
      <c r="G23" s="246"/>
      <c r="H23" s="246" t="s">
        <v>129</v>
      </c>
      <c r="I23" s="246"/>
    </row>
    <row r="24" spans="1:25" ht="17.45" customHeight="1">
      <c r="A24" s="249">
        <v>3.6</v>
      </c>
      <c r="B24" s="246"/>
      <c r="C24" s="246" t="s">
        <v>495</v>
      </c>
      <c r="D24" s="246"/>
      <c r="E24" s="249" t="s">
        <v>136</v>
      </c>
      <c r="F24" s="249">
        <v>1</v>
      </c>
      <c r="G24" s="246"/>
      <c r="H24" s="246" t="s">
        <v>134</v>
      </c>
      <c r="I24" s="246"/>
    </row>
    <row r="25" spans="1:25" ht="17.45" customHeight="1">
      <c r="A25" s="250" t="s">
        <v>1235</v>
      </c>
      <c r="B25" s="246"/>
      <c r="C25" s="246" t="s">
        <v>1236</v>
      </c>
      <c r="D25" s="246"/>
      <c r="E25" s="249" t="s">
        <v>547</v>
      </c>
      <c r="F25" s="249">
        <v>5</v>
      </c>
      <c r="G25" s="246"/>
      <c r="H25" s="246" t="s">
        <v>374</v>
      </c>
      <c r="I25" s="246"/>
    </row>
    <row r="26" spans="1:25" ht="17.45" customHeight="1">
      <c r="A26" s="249">
        <v>3.9</v>
      </c>
      <c r="B26" s="246"/>
      <c r="C26" s="246" t="s">
        <v>1237</v>
      </c>
      <c r="D26" s="246"/>
      <c r="E26" s="249" t="s">
        <v>1238</v>
      </c>
      <c r="F26" s="249">
        <v>2</v>
      </c>
      <c r="G26" s="246"/>
      <c r="H26" s="246"/>
      <c r="I26" s="246" t="s">
        <v>500</v>
      </c>
    </row>
    <row r="27" spans="1:25" ht="17.45" customHeight="1">
      <c r="A27" s="249">
        <v>3.5</v>
      </c>
      <c r="B27" s="246"/>
      <c r="C27" s="246" t="s">
        <v>498</v>
      </c>
      <c r="D27" s="246"/>
      <c r="E27" s="249" t="s">
        <v>136</v>
      </c>
      <c r="F27" s="249">
        <v>1</v>
      </c>
      <c r="G27" s="246"/>
      <c r="H27" s="246"/>
      <c r="I27" s="246" t="s">
        <v>504</v>
      </c>
    </row>
    <row r="28" spans="1:25" ht="17.45" customHeight="1">
      <c r="A28" s="249">
        <v>3.4</v>
      </c>
      <c r="B28" s="246"/>
      <c r="C28" s="246" t="s">
        <v>1239</v>
      </c>
      <c r="D28" s="246"/>
      <c r="E28" s="249" t="s">
        <v>922</v>
      </c>
      <c r="F28" s="249">
        <v>1</v>
      </c>
      <c r="G28" s="246"/>
      <c r="H28" s="246"/>
      <c r="I28" s="246" t="s">
        <v>507</v>
      </c>
    </row>
    <row r="29" spans="1:25" ht="17.45" customHeight="1">
      <c r="A29" s="245">
        <v>4</v>
      </c>
      <c r="B29" s="247" t="s">
        <v>1240</v>
      </c>
      <c r="C29" s="245">
        <v>8</v>
      </c>
      <c r="D29" s="247"/>
      <c r="E29" s="245"/>
      <c r="F29" s="245"/>
      <c r="G29" s="247"/>
      <c r="H29" s="247"/>
      <c r="I29" s="247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</row>
    <row r="30" spans="1:25" ht="17.45" customHeight="1">
      <c r="A30" s="251">
        <v>46116</v>
      </c>
      <c r="B30" s="246"/>
      <c r="C30" s="246" t="s">
        <v>1241</v>
      </c>
      <c r="D30" s="246"/>
      <c r="E30" s="249"/>
      <c r="F30" s="249">
        <v>3</v>
      </c>
      <c r="G30" s="246">
        <v>1</v>
      </c>
      <c r="H30" s="246"/>
      <c r="I30" s="246"/>
    </row>
    <row r="31" spans="1:25" ht="17.45" customHeight="1">
      <c r="A31" s="251">
        <v>46207</v>
      </c>
      <c r="B31" s="246"/>
      <c r="C31" s="246" t="s">
        <v>1242</v>
      </c>
      <c r="D31" s="246"/>
      <c r="E31" s="249"/>
      <c r="F31" s="249">
        <v>7</v>
      </c>
      <c r="G31" s="246">
        <v>2</v>
      </c>
      <c r="H31" s="246"/>
      <c r="I31" s="246"/>
    </row>
    <row r="32" spans="1:25" ht="17.45" customHeight="1">
      <c r="A32" s="251">
        <v>46026</v>
      </c>
      <c r="B32" s="246"/>
      <c r="C32" s="246" t="s">
        <v>1243</v>
      </c>
      <c r="D32" s="246"/>
      <c r="E32" s="249"/>
      <c r="F32" s="249">
        <v>1</v>
      </c>
      <c r="G32" s="246">
        <v>3</v>
      </c>
      <c r="H32" s="246"/>
      <c r="I32" s="246"/>
    </row>
    <row r="33" spans="1:25" ht="17.45" customHeight="1">
      <c r="A33" s="251">
        <v>46146</v>
      </c>
      <c r="B33" s="246"/>
      <c r="C33" s="246" t="s">
        <v>1244</v>
      </c>
      <c r="D33" s="246"/>
      <c r="E33" s="249"/>
      <c r="F33" s="249">
        <v>5</v>
      </c>
      <c r="G33" s="246">
        <v>4</v>
      </c>
      <c r="H33" s="246"/>
      <c r="I33" s="246"/>
    </row>
    <row r="34" spans="1:25" ht="17.45" customHeight="1">
      <c r="A34" s="252">
        <v>46085</v>
      </c>
      <c r="B34" s="246"/>
      <c r="C34" s="246" t="s">
        <v>1245</v>
      </c>
      <c r="D34" s="246"/>
      <c r="E34" s="249"/>
      <c r="F34" s="249">
        <v>2</v>
      </c>
      <c r="G34" s="246">
        <v>5</v>
      </c>
      <c r="H34" s="246"/>
      <c r="I34" s="246"/>
    </row>
    <row r="35" spans="1:25" ht="17.45" customHeight="1">
      <c r="A35" s="251">
        <v>46057</v>
      </c>
      <c r="B35" s="246"/>
      <c r="C35" s="246" t="s">
        <v>1246</v>
      </c>
      <c r="D35" s="246"/>
      <c r="E35" s="249"/>
      <c r="F35" s="249">
        <v>1</v>
      </c>
      <c r="G35" s="246">
        <v>6</v>
      </c>
      <c r="H35" s="246"/>
      <c r="I35" s="246"/>
    </row>
    <row r="36" spans="1:25" ht="17.45" customHeight="1">
      <c r="A36" s="251">
        <v>46238</v>
      </c>
      <c r="B36" s="246"/>
      <c r="C36" s="246" t="s">
        <v>164</v>
      </c>
      <c r="D36" s="246"/>
      <c r="E36" s="249"/>
      <c r="F36" s="249">
        <v>8</v>
      </c>
      <c r="G36" s="246">
        <v>7</v>
      </c>
      <c r="H36" s="246"/>
      <c r="I36" s="246"/>
    </row>
    <row r="37" spans="1:25" ht="17.45" customHeight="1">
      <c r="A37" s="251">
        <v>46177</v>
      </c>
      <c r="B37" s="246"/>
      <c r="C37" s="246" t="s">
        <v>194</v>
      </c>
      <c r="D37" s="246"/>
      <c r="E37" s="249"/>
      <c r="F37" s="249">
        <v>6</v>
      </c>
      <c r="G37" s="246">
        <v>8</v>
      </c>
      <c r="H37" s="246"/>
      <c r="I37" s="246"/>
    </row>
    <row r="38" spans="1:25" ht="17.45" customHeight="1">
      <c r="A38" s="245">
        <v>5</v>
      </c>
      <c r="B38" s="247" t="s">
        <v>1247</v>
      </c>
      <c r="C38" s="245">
        <v>6</v>
      </c>
      <c r="D38" s="247"/>
      <c r="E38" s="245"/>
      <c r="F38" s="245"/>
      <c r="G38" s="247"/>
      <c r="H38" s="247"/>
      <c r="I38" s="247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</row>
    <row r="39" spans="1:25" ht="17.45" customHeight="1">
      <c r="A39" s="251">
        <v>46117</v>
      </c>
      <c r="B39" s="247"/>
      <c r="C39" s="246" t="s">
        <v>1248</v>
      </c>
      <c r="D39" s="246"/>
      <c r="E39" s="249"/>
      <c r="F39" s="249">
        <v>5</v>
      </c>
      <c r="G39" s="246" t="s">
        <v>105</v>
      </c>
      <c r="H39" s="247"/>
      <c r="I39" s="247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</row>
    <row r="40" spans="1:25" ht="17.45" customHeight="1">
      <c r="A40" s="251">
        <v>46086</v>
      </c>
      <c r="B40" s="247"/>
      <c r="C40" s="246" t="s">
        <v>1249</v>
      </c>
      <c r="D40" s="246"/>
      <c r="E40" s="249"/>
      <c r="F40" s="249">
        <v>4</v>
      </c>
      <c r="G40" s="246" t="s">
        <v>109</v>
      </c>
      <c r="H40" s="247"/>
      <c r="I40" s="247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</row>
    <row r="41" spans="1:25" ht="17.45" customHeight="1">
      <c r="A41" s="251">
        <v>46147</v>
      </c>
      <c r="B41" s="247"/>
      <c r="C41" s="246" t="s">
        <v>1250</v>
      </c>
      <c r="D41" s="246"/>
      <c r="E41" s="249"/>
      <c r="F41" s="249">
        <v>6</v>
      </c>
      <c r="G41" s="246" t="s">
        <v>117</v>
      </c>
      <c r="H41" s="247"/>
      <c r="I41" s="247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</row>
    <row r="42" spans="1:25" ht="17.45" customHeight="1">
      <c r="A42" s="251">
        <v>46178</v>
      </c>
      <c r="B42" s="247"/>
      <c r="C42" s="246" t="s">
        <v>1251</v>
      </c>
      <c r="D42" s="246"/>
      <c r="E42" s="249"/>
      <c r="F42" s="249">
        <v>8</v>
      </c>
      <c r="G42" s="247"/>
      <c r="H42" s="246" t="s">
        <v>111</v>
      </c>
      <c r="I42" s="247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</row>
    <row r="43" spans="1:25" ht="17.45" customHeight="1">
      <c r="A43" s="251">
        <v>46058</v>
      </c>
      <c r="B43" s="247"/>
      <c r="C43" s="246" t="s">
        <v>1245</v>
      </c>
      <c r="D43" s="246"/>
      <c r="E43" s="249"/>
      <c r="F43" s="249">
        <v>2</v>
      </c>
      <c r="G43" s="247"/>
      <c r="H43" s="246" t="s">
        <v>129</v>
      </c>
      <c r="I43" s="247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</row>
    <row r="44" spans="1:25" ht="17.45" customHeight="1">
      <c r="A44" s="251">
        <v>46027</v>
      </c>
      <c r="B44" s="247"/>
      <c r="C44" s="246" t="s">
        <v>1252</v>
      </c>
      <c r="D44" s="246"/>
      <c r="E44" s="249"/>
      <c r="F44" s="249">
        <v>1</v>
      </c>
      <c r="G44" s="247"/>
      <c r="H44" s="246" t="s">
        <v>134</v>
      </c>
      <c r="I44" s="247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</row>
    <row r="45" spans="1:25" ht="17.45" customHeight="1">
      <c r="A45" s="245">
        <v>6</v>
      </c>
      <c r="B45" s="247" t="s">
        <v>962</v>
      </c>
      <c r="C45" s="245">
        <v>8</v>
      </c>
      <c r="D45" s="247"/>
      <c r="E45" s="245"/>
      <c r="F45" s="245"/>
      <c r="G45" s="247"/>
      <c r="H45" s="247"/>
      <c r="I45" s="247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</row>
    <row r="46" spans="1:25" ht="17.45" customHeight="1">
      <c r="A46" s="251">
        <v>46087</v>
      </c>
      <c r="B46" s="246"/>
      <c r="C46" s="246" t="s">
        <v>1241</v>
      </c>
      <c r="D46" s="246"/>
      <c r="E46" s="249"/>
      <c r="F46" s="249">
        <v>3</v>
      </c>
      <c r="G46" s="246" t="s">
        <v>111</v>
      </c>
      <c r="H46" s="246"/>
      <c r="I46" s="246"/>
    </row>
    <row r="47" spans="1:25" ht="17.45" customHeight="1">
      <c r="A47" s="251">
        <v>46209</v>
      </c>
      <c r="B47" s="246"/>
      <c r="C47" s="246" t="s">
        <v>1242</v>
      </c>
      <c r="D47" s="246"/>
      <c r="E47" s="249"/>
      <c r="F47" s="249">
        <v>7</v>
      </c>
      <c r="G47" s="246" t="s">
        <v>129</v>
      </c>
      <c r="H47" s="246"/>
      <c r="I47" s="246"/>
    </row>
    <row r="48" spans="1:25" ht="17.45" customHeight="1">
      <c r="A48" s="251">
        <v>46028</v>
      </c>
      <c r="B48" s="246"/>
      <c r="C48" s="253" t="s">
        <v>1253</v>
      </c>
      <c r="D48" s="253"/>
      <c r="E48" s="249"/>
      <c r="F48" s="249">
        <v>1</v>
      </c>
      <c r="G48" s="246" t="s">
        <v>134</v>
      </c>
      <c r="H48" s="246"/>
      <c r="I48" s="246"/>
    </row>
    <row r="49" spans="1:25" ht="17.45" customHeight="1">
      <c r="A49" s="251">
        <v>46179</v>
      </c>
      <c r="B49" s="246"/>
      <c r="C49" s="246" t="s">
        <v>1254</v>
      </c>
      <c r="D49" s="246"/>
      <c r="E49" s="249"/>
      <c r="F49" s="249">
        <v>6</v>
      </c>
      <c r="G49" s="246" t="s">
        <v>374</v>
      </c>
      <c r="H49" s="246"/>
      <c r="I49" s="246"/>
    </row>
    <row r="50" spans="1:25" ht="17.45" customHeight="1">
      <c r="A50" s="251">
        <v>46240</v>
      </c>
      <c r="B50" s="246"/>
      <c r="C50" s="246" t="s">
        <v>1255</v>
      </c>
      <c r="D50" s="246"/>
      <c r="E50" s="249"/>
      <c r="F50" s="249">
        <v>8</v>
      </c>
      <c r="G50" s="246"/>
      <c r="H50" s="246" t="s">
        <v>105</v>
      </c>
      <c r="I50" s="246"/>
    </row>
    <row r="51" spans="1:25" ht="17.45" customHeight="1">
      <c r="A51" s="251">
        <v>46118</v>
      </c>
      <c r="B51" s="246"/>
      <c r="C51" s="246" t="s">
        <v>1249</v>
      </c>
      <c r="D51" s="246"/>
      <c r="E51" s="249"/>
      <c r="F51" s="249">
        <v>4</v>
      </c>
      <c r="G51" s="246"/>
      <c r="H51" s="246" t="s">
        <v>109</v>
      </c>
      <c r="I51" s="246"/>
    </row>
    <row r="52" spans="1:25" ht="17.45" customHeight="1">
      <c r="A52" s="251">
        <v>46148</v>
      </c>
      <c r="B52" s="246"/>
      <c r="C52" s="246" t="s">
        <v>465</v>
      </c>
      <c r="D52" s="246"/>
      <c r="E52" s="249"/>
      <c r="F52" s="249">
        <v>5</v>
      </c>
      <c r="G52" s="246"/>
      <c r="H52" s="246" t="s">
        <v>117</v>
      </c>
      <c r="I52" s="246"/>
    </row>
    <row r="53" spans="1:25" ht="17.45" customHeight="1">
      <c r="A53" s="251">
        <v>46059</v>
      </c>
      <c r="B53" s="246"/>
      <c r="C53" s="246" t="s">
        <v>1256</v>
      </c>
      <c r="D53" s="246"/>
      <c r="E53" s="249"/>
      <c r="F53" s="249">
        <v>2</v>
      </c>
      <c r="G53" s="246"/>
      <c r="H53" s="246" t="s">
        <v>124</v>
      </c>
      <c r="I53" s="246"/>
    </row>
    <row r="54" spans="1:25" ht="17.45" customHeight="1">
      <c r="A54" s="245">
        <v>7</v>
      </c>
      <c r="B54" s="247" t="s">
        <v>80</v>
      </c>
      <c r="C54" s="245">
        <v>10</v>
      </c>
      <c r="D54" s="247"/>
      <c r="E54" s="245"/>
      <c r="F54" s="245"/>
      <c r="G54" s="247"/>
      <c r="H54" s="247"/>
      <c r="I54" s="247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</row>
    <row r="55" spans="1:25" ht="17.45" customHeight="1">
      <c r="A55" s="251">
        <v>46029</v>
      </c>
      <c r="B55" s="246" t="s">
        <v>548</v>
      </c>
      <c r="C55" s="246" t="s">
        <v>538</v>
      </c>
      <c r="D55" s="246"/>
      <c r="E55" s="249" t="s">
        <v>547</v>
      </c>
      <c r="F55" s="249">
        <v>5</v>
      </c>
      <c r="G55" s="246"/>
      <c r="H55" s="246"/>
      <c r="I55" s="246"/>
    </row>
    <row r="56" spans="1:25" ht="17.45" customHeight="1">
      <c r="A56" s="251">
        <v>46060</v>
      </c>
      <c r="B56" s="246" t="s">
        <v>1257</v>
      </c>
      <c r="C56" s="246" t="s">
        <v>544</v>
      </c>
      <c r="D56" s="246"/>
      <c r="E56" s="249" t="s">
        <v>545</v>
      </c>
      <c r="F56" s="249">
        <v>8</v>
      </c>
      <c r="G56" s="246"/>
      <c r="H56" s="246"/>
      <c r="I56" s="246"/>
    </row>
    <row r="57" spans="1:25" ht="17.45" customHeight="1">
      <c r="A57" s="251">
        <v>46088</v>
      </c>
      <c r="B57" s="246" t="s">
        <v>551</v>
      </c>
      <c r="C57" s="246" t="s">
        <v>542</v>
      </c>
      <c r="D57" s="246"/>
      <c r="E57" s="249" t="s">
        <v>550</v>
      </c>
      <c r="F57" s="249">
        <v>8</v>
      </c>
      <c r="G57" s="246"/>
      <c r="H57" s="246"/>
      <c r="I57" s="246"/>
    </row>
    <row r="58" spans="1:25" ht="17.45" customHeight="1">
      <c r="A58" s="251">
        <v>46119</v>
      </c>
      <c r="B58" s="246" t="s">
        <v>554</v>
      </c>
      <c r="C58" s="246" t="s">
        <v>552</v>
      </c>
      <c r="D58" s="246"/>
      <c r="E58" s="249" t="s">
        <v>553</v>
      </c>
      <c r="F58" s="249">
        <v>5</v>
      </c>
      <c r="G58" s="246"/>
      <c r="H58" s="246"/>
      <c r="I58" s="246"/>
    </row>
    <row r="59" spans="1:25" ht="17.45" customHeight="1">
      <c r="A59" s="251">
        <v>46149</v>
      </c>
      <c r="B59" s="246" t="s">
        <v>539</v>
      </c>
      <c r="C59" s="246" t="s">
        <v>529</v>
      </c>
      <c r="D59" s="246"/>
      <c r="E59" s="249" t="s">
        <v>1246</v>
      </c>
      <c r="F59" s="249">
        <v>1</v>
      </c>
      <c r="G59" s="246"/>
      <c r="H59" s="246"/>
      <c r="I59" s="246"/>
    </row>
    <row r="60" spans="1:25" ht="17.45" customHeight="1">
      <c r="A60" s="251">
        <v>46180</v>
      </c>
      <c r="B60" s="246" t="s">
        <v>541</v>
      </c>
      <c r="C60" s="246" t="s">
        <v>320</v>
      </c>
      <c r="D60" s="246"/>
      <c r="E60" s="249" t="s">
        <v>540</v>
      </c>
      <c r="F60" s="249">
        <v>6</v>
      </c>
      <c r="G60" s="246"/>
      <c r="H60" s="246"/>
      <c r="I60" s="246"/>
    </row>
    <row r="61" spans="1:25" ht="17.45" customHeight="1">
      <c r="A61" s="251">
        <v>46210</v>
      </c>
      <c r="B61" s="246" t="s">
        <v>561</v>
      </c>
      <c r="C61" s="246" t="s">
        <v>559</v>
      </c>
      <c r="D61" s="246"/>
      <c r="E61" s="249" t="s">
        <v>560</v>
      </c>
      <c r="F61" s="249">
        <v>6</v>
      </c>
      <c r="G61" s="246"/>
      <c r="H61" s="246"/>
      <c r="I61" s="246"/>
    </row>
    <row r="62" spans="1:25" ht="17.45" customHeight="1">
      <c r="A62" s="251">
        <v>46241</v>
      </c>
      <c r="B62" s="246" t="s">
        <v>558</v>
      </c>
      <c r="C62" s="246" t="s">
        <v>555</v>
      </c>
      <c r="D62" s="246"/>
      <c r="E62" s="249" t="s">
        <v>557</v>
      </c>
      <c r="F62" s="249">
        <v>6</v>
      </c>
      <c r="G62" s="246"/>
      <c r="H62" s="246"/>
      <c r="I62" s="246"/>
    </row>
    <row r="63" spans="1:25" ht="17.45" customHeight="1">
      <c r="A63" s="251">
        <v>46272</v>
      </c>
      <c r="B63" s="246" t="s">
        <v>534</v>
      </c>
      <c r="C63" s="246" t="s">
        <v>532</v>
      </c>
      <c r="D63" s="246"/>
      <c r="E63" s="249" t="s">
        <v>533</v>
      </c>
      <c r="F63" s="249">
        <v>2</v>
      </c>
      <c r="G63" s="246"/>
      <c r="H63" s="246"/>
      <c r="I63" s="246"/>
    </row>
    <row r="64" spans="1:25" ht="17.45" customHeight="1">
      <c r="A64" s="251">
        <v>46302</v>
      </c>
      <c r="B64" s="246" t="s">
        <v>537</v>
      </c>
      <c r="C64" s="246" t="s">
        <v>535</v>
      </c>
      <c r="D64" s="246"/>
      <c r="E64" s="249" t="s">
        <v>536</v>
      </c>
      <c r="F64" s="249">
        <v>4</v>
      </c>
      <c r="G64" s="246"/>
      <c r="H64" s="246"/>
      <c r="I64" s="246"/>
    </row>
    <row r="65" spans="1:25" ht="17.45" customHeight="1">
      <c r="A65" s="245">
        <v>8</v>
      </c>
      <c r="B65" s="247" t="s">
        <v>86</v>
      </c>
      <c r="C65" s="245">
        <v>10</v>
      </c>
      <c r="D65" s="247"/>
      <c r="E65" s="245"/>
      <c r="F65" s="245"/>
      <c r="G65" s="247"/>
      <c r="H65" s="247"/>
      <c r="I65" s="247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</row>
    <row r="66" spans="1:25" ht="17.45" customHeight="1">
      <c r="A66" s="251">
        <v>46030</v>
      </c>
      <c r="B66" s="246" t="s">
        <v>590</v>
      </c>
      <c r="C66" s="246" t="s">
        <v>538</v>
      </c>
      <c r="D66" s="246"/>
      <c r="E66" s="249" t="s">
        <v>547</v>
      </c>
      <c r="F66" s="249">
        <v>5</v>
      </c>
      <c r="G66" s="246"/>
      <c r="H66" s="246"/>
      <c r="I66" s="246"/>
    </row>
    <row r="67" spans="1:25" ht="17.45" customHeight="1">
      <c r="A67" s="251">
        <v>46061</v>
      </c>
      <c r="B67" s="246" t="s">
        <v>589</v>
      </c>
      <c r="C67" s="246" t="s">
        <v>587</v>
      </c>
      <c r="D67" s="246"/>
      <c r="E67" s="249" t="s">
        <v>588</v>
      </c>
      <c r="F67" s="249">
        <v>2</v>
      </c>
      <c r="G67" s="246"/>
      <c r="H67" s="246"/>
      <c r="I67" s="246"/>
    </row>
    <row r="68" spans="1:25" ht="17.45" customHeight="1">
      <c r="A68" s="251">
        <v>46089</v>
      </c>
      <c r="B68" s="246" t="s">
        <v>593</v>
      </c>
      <c r="C68" s="246" t="s">
        <v>592</v>
      </c>
      <c r="D68" s="246"/>
      <c r="E68" s="249" t="s">
        <v>553</v>
      </c>
      <c r="F68" s="249">
        <v>5</v>
      </c>
      <c r="G68" s="246"/>
      <c r="H68" s="246"/>
      <c r="I68" s="246"/>
    </row>
    <row r="69" spans="1:25" ht="17.45" customHeight="1">
      <c r="A69" s="251">
        <v>46120</v>
      </c>
      <c r="B69" s="246" t="s">
        <v>596</v>
      </c>
      <c r="C69" s="246" t="s">
        <v>594</v>
      </c>
      <c r="D69" s="246"/>
      <c r="E69" s="249" t="s">
        <v>595</v>
      </c>
      <c r="F69" s="249">
        <v>1</v>
      </c>
      <c r="G69" s="246"/>
      <c r="H69" s="246"/>
      <c r="I69" s="246"/>
    </row>
    <row r="70" spans="1:25" ht="17.45" customHeight="1">
      <c r="A70" s="251">
        <v>46150</v>
      </c>
      <c r="B70" s="246" t="s">
        <v>584</v>
      </c>
      <c r="C70" s="246" t="s">
        <v>573</v>
      </c>
      <c r="D70" s="246"/>
      <c r="E70" s="249" t="s">
        <v>583</v>
      </c>
      <c r="F70" s="249">
        <v>1</v>
      </c>
      <c r="G70" s="246"/>
      <c r="H70" s="246"/>
      <c r="I70" s="246"/>
    </row>
    <row r="71" spans="1:25" ht="17.45" customHeight="1">
      <c r="A71" s="251">
        <v>46181</v>
      </c>
      <c r="B71" s="246" t="s">
        <v>585</v>
      </c>
      <c r="C71" s="246" t="s">
        <v>532</v>
      </c>
      <c r="D71" s="246"/>
      <c r="E71" s="249" t="s">
        <v>533</v>
      </c>
      <c r="F71" s="249">
        <v>2</v>
      </c>
      <c r="G71" s="246"/>
      <c r="H71" s="246"/>
      <c r="I71" s="246"/>
    </row>
    <row r="72" spans="1:25" ht="17.45" customHeight="1">
      <c r="A72" s="251">
        <v>46211</v>
      </c>
      <c r="B72" s="246" t="s">
        <v>602</v>
      </c>
      <c r="C72" s="246" t="s">
        <v>45</v>
      </c>
      <c r="D72" s="246"/>
      <c r="E72" s="249" t="s">
        <v>601</v>
      </c>
      <c r="F72" s="249">
        <v>5</v>
      </c>
      <c r="G72" s="246"/>
      <c r="H72" s="246"/>
      <c r="I72" s="246"/>
    </row>
    <row r="73" spans="1:25" ht="17.45" customHeight="1">
      <c r="A73" s="251">
        <v>46242</v>
      </c>
      <c r="B73" s="246" t="s">
        <v>600</v>
      </c>
      <c r="C73" s="246" t="s">
        <v>597</v>
      </c>
      <c r="D73" s="246"/>
      <c r="E73" s="249" t="s">
        <v>599</v>
      </c>
      <c r="F73" s="249">
        <v>3</v>
      </c>
      <c r="G73" s="246"/>
      <c r="H73" s="246"/>
      <c r="I73" s="246"/>
    </row>
    <row r="74" spans="1:25" ht="17.45" customHeight="1">
      <c r="A74" s="251">
        <v>46273</v>
      </c>
      <c r="B74" s="246" t="s">
        <v>578</v>
      </c>
      <c r="C74" s="246" t="s">
        <v>576</v>
      </c>
      <c r="D74" s="246"/>
      <c r="E74" s="249" t="s">
        <v>577</v>
      </c>
      <c r="F74" s="249">
        <v>3</v>
      </c>
      <c r="G74" s="246"/>
      <c r="H74" s="246"/>
      <c r="I74" s="246"/>
    </row>
    <row r="75" spans="1:25" ht="17.45" customHeight="1">
      <c r="A75" s="251">
        <v>46303</v>
      </c>
      <c r="B75" s="246" t="s">
        <v>580</v>
      </c>
      <c r="C75" s="246" t="s">
        <v>579</v>
      </c>
      <c r="D75" s="246"/>
      <c r="E75" s="249" t="s">
        <v>540</v>
      </c>
      <c r="F75" s="249">
        <v>6</v>
      </c>
      <c r="G75" s="246"/>
      <c r="H75" s="246"/>
      <c r="I75" s="246"/>
    </row>
    <row r="76" spans="1:25" ht="17.45" customHeight="1">
      <c r="A76" s="245">
        <v>9</v>
      </c>
      <c r="B76" s="247" t="s">
        <v>89</v>
      </c>
      <c r="C76" s="245">
        <v>8</v>
      </c>
      <c r="D76" s="247" t="s">
        <v>1229</v>
      </c>
      <c r="E76" s="245"/>
      <c r="F76" s="245"/>
      <c r="G76" s="247"/>
      <c r="H76" s="247"/>
      <c r="I76" s="247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</row>
    <row r="77" spans="1:25" ht="17.45" customHeight="1">
      <c r="A77" s="251">
        <v>46182</v>
      </c>
      <c r="B77" s="246"/>
      <c r="C77" s="246" t="s">
        <v>673</v>
      </c>
      <c r="D77" s="246"/>
      <c r="E77" s="249" t="s">
        <v>1223</v>
      </c>
      <c r="F77" s="249">
        <v>4</v>
      </c>
      <c r="G77" s="246" t="s">
        <v>109</v>
      </c>
      <c r="H77" s="246"/>
      <c r="I77" s="246"/>
    </row>
    <row r="78" spans="1:25" ht="17.45" customHeight="1">
      <c r="A78" s="251">
        <v>46090</v>
      </c>
      <c r="B78" s="246"/>
      <c r="C78" s="246" t="s">
        <v>670</v>
      </c>
      <c r="D78" s="246"/>
      <c r="E78" s="249" t="s">
        <v>1246</v>
      </c>
      <c r="F78" s="249">
        <v>1</v>
      </c>
      <c r="G78" s="246" t="s">
        <v>117</v>
      </c>
      <c r="H78" s="246"/>
      <c r="I78" s="246"/>
    </row>
    <row r="79" spans="1:25" ht="17.45" customHeight="1">
      <c r="A79" s="251">
        <v>46031</v>
      </c>
      <c r="B79" s="246"/>
      <c r="C79" s="246" t="s">
        <v>663</v>
      </c>
      <c r="D79" s="246"/>
      <c r="E79" s="249" t="s">
        <v>583</v>
      </c>
      <c r="F79" s="249">
        <v>1</v>
      </c>
      <c r="G79" s="246" t="s">
        <v>124</v>
      </c>
      <c r="H79" s="246"/>
      <c r="I79" s="246"/>
    </row>
    <row r="80" spans="1:25" ht="17.45" customHeight="1">
      <c r="A80" s="251">
        <v>46243</v>
      </c>
      <c r="B80" s="246"/>
      <c r="C80" s="246" t="s">
        <v>677</v>
      </c>
      <c r="D80" s="246"/>
      <c r="E80" s="249" t="s">
        <v>1258</v>
      </c>
      <c r="F80" s="249">
        <v>6</v>
      </c>
      <c r="G80" s="246" t="s">
        <v>1167</v>
      </c>
      <c r="H80" s="246"/>
      <c r="I80" s="246"/>
    </row>
    <row r="81" spans="1:25" ht="17.45" customHeight="1">
      <c r="A81" s="251">
        <v>46212</v>
      </c>
      <c r="B81" s="246"/>
      <c r="C81" s="246" t="s">
        <v>665</v>
      </c>
      <c r="D81" s="246"/>
      <c r="E81" s="249" t="s">
        <v>1259</v>
      </c>
      <c r="F81" s="249">
        <v>4</v>
      </c>
      <c r="G81" s="246"/>
      <c r="H81" s="246" t="s">
        <v>129</v>
      </c>
      <c r="I81" s="246"/>
    </row>
    <row r="82" spans="1:25" ht="17.45" customHeight="1">
      <c r="A82" s="251">
        <v>46151</v>
      </c>
      <c r="B82" s="246"/>
      <c r="C82" s="246" t="s">
        <v>393</v>
      </c>
      <c r="D82" s="246"/>
      <c r="E82" s="249" t="s">
        <v>1238</v>
      </c>
      <c r="F82" s="249">
        <v>2</v>
      </c>
      <c r="G82" s="246"/>
      <c r="H82" s="246" t="s">
        <v>134</v>
      </c>
      <c r="I82" s="246"/>
    </row>
    <row r="83" spans="1:25" ht="17.45" customHeight="1">
      <c r="A83" s="251">
        <v>46121</v>
      </c>
      <c r="B83" s="246"/>
      <c r="C83" s="246" t="s">
        <v>668</v>
      </c>
      <c r="D83" s="246"/>
      <c r="E83" s="249" t="s">
        <v>1246</v>
      </c>
      <c r="F83" s="249">
        <v>1</v>
      </c>
      <c r="G83" s="246"/>
      <c r="H83" s="246" t="s">
        <v>374</v>
      </c>
      <c r="I83" s="246"/>
    </row>
    <row r="84" spans="1:25" ht="17.45" customHeight="1">
      <c r="A84" s="251">
        <v>46062</v>
      </c>
      <c r="B84" s="246"/>
      <c r="C84" s="246" t="s">
        <v>680</v>
      </c>
      <c r="D84" s="246"/>
      <c r="E84" s="249" t="s">
        <v>922</v>
      </c>
      <c r="F84" s="249">
        <v>1</v>
      </c>
      <c r="G84" s="246"/>
      <c r="H84" s="246" t="s">
        <v>1168</v>
      </c>
      <c r="I84" s="246"/>
    </row>
    <row r="85" spans="1:25" ht="17.45" customHeight="1">
      <c r="A85" s="245">
        <v>10</v>
      </c>
      <c r="B85" s="247" t="s">
        <v>91</v>
      </c>
      <c r="C85" s="245">
        <v>10</v>
      </c>
      <c r="D85" s="247"/>
      <c r="E85" s="245"/>
      <c r="F85" s="245"/>
      <c r="G85" s="247"/>
      <c r="H85" s="247"/>
      <c r="I85" s="247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</row>
    <row r="86" spans="1:25" ht="17.45" customHeight="1">
      <c r="A86" s="251">
        <v>46032</v>
      </c>
      <c r="B86" s="246" t="s">
        <v>627</v>
      </c>
      <c r="C86" s="246" t="s">
        <v>592</v>
      </c>
      <c r="D86" s="246"/>
      <c r="E86" s="249" t="s">
        <v>553</v>
      </c>
      <c r="F86" s="258">
        <v>5</v>
      </c>
      <c r="G86" s="247"/>
      <c r="H86" s="247"/>
      <c r="I86" s="247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</row>
    <row r="87" spans="1:25" ht="17.45" customHeight="1">
      <c r="A87" s="251">
        <v>46063</v>
      </c>
      <c r="B87" s="246" t="s">
        <v>626</v>
      </c>
      <c r="C87" s="246" t="s">
        <v>625</v>
      </c>
      <c r="D87" s="246"/>
      <c r="E87" s="249" t="s">
        <v>533</v>
      </c>
      <c r="F87" s="258">
        <v>2</v>
      </c>
      <c r="G87" s="247"/>
      <c r="H87" s="247"/>
      <c r="I87" s="247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</row>
    <row r="88" spans="1:25" ht="17.45" customHeight="1">
      <c r="A88" s="251">
        <v>46091</v>
      </c>
      <c r="B88" s="246" t="s">
        <v>630</v>
      </c>
      <c r="C88" s="246" t="s">
        <v>610</v>
      </c>
      <c r="D88" s="246"/>
      <c r="E88" s="249" t="s">
        <v>629</v>
      </c>
      <c r="F88" s="258">
        <v>7</v>
      </c>
      <c r="G88" s="247"/>
      <c r="H88" s="247"/>
      <c r="I88" s="247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</row>
    <row r="89" spans="1:25" ht="17.45" customHeight="1">
      <c r="A89" s="251">
        <v>46122</v>
      </c>
      <c r="B89" s="246" t="s">
        <v>633</v>
      </c>
      <c r="C89" s="246" t="s">
        <v>631</v>
      </c>
      <c r="D89" s="246"/>
      <c r="E89" s="249" t="s">
        <v>632</v>
      </c>
      <c r="F89" s="258">
        <v>7</v>
      </c>
      <c r="G89" s="247"/>
      <c r="H89" s="247"/>
      <c r="I89" s="247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</row>
    <row r="90" spans="1:25" ht="17.45" customHeight="1">
      <c r="A90" s="251">
        <v>46152</v>
      </c>
      <c r="B90" s="246" t="s">
        <v>1260</v>
      </c>
      <c r="C90" s="246" t="s">
        <v>619</v>
      </c>
      <c r="D90" s="246"/>
      <c r="E90" s="249" t="s">
        <v>620</v>
      </c>
      <c r="F90" s="258">
        <v>8</v>
      </c>
      <c r="G90" s="247"/>
      <c r="H90" s="247"/>
      <c r="I90" s="247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</row>
    <row r="91" spans="1:25" ht="17.45" customHeight="1">
      <c r="A91" s="251">
        <v>46183</v>
      </c>
      <c r="B91" s="246" t="s">
        <v>623</v>
      </c>
      <c r="C91" s="246" t="s">
        <v>616</v>
      </c>
      <c r="D91" s="246"/>
      <c r="E91" s="249" t="s">
        <v>622</v>
      </c>
      <c r="F91" s="258">
        <v>1</v>
      </c>
      <c r="G91" s="247"/>
      <c r="H91" s="247"/>
      <c r="I91" s="247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</row>
    <row r="92" spans="1:25" ht="17.45" customHeight="1">
      <c r="A92" s="251">
        <v>46213</v>
      </c>
      <c r="B92" s="246" t="s">
        <v>638</v>
      </c>
      <c r="C92" s="246" t="s">
        <v>637</v>
      </c>
      <c r="D92" s="246"/>
      <c r="E92" s="249" t="s">
        <v>545</v>
      </c>
      <c r="F92" s="258">
        <v>8</v>
      </c>
      <c r="G92" s="247"/>
      <c r="H92" s="247"/>
      <c r="I92" s="247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</row>
    <row r="93" spans="1:25" ht="17.45" customHeight="1">
      <c r="A93" s="251">
        <v>46244</v>
      </c>
      <c r="B93" s="246" t="s">
        <v>636</v>
      </c>
      <c r="C93" s="246" t="s">
        <v>341</v>
      </c>
      <c r="D93" s="246"/>
      <c r="E93" s="249" t="s">
        <v>635</v>
      </c>
      <c r="F93" s="258">
        <v>1</v>
      </c>
      <c r="G93" s="247"/>
      <c r="H93" s="247"/>
      <c r="I93" s="247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</row>
    <row r="94" spans="1:25" ht="17.45" customHeight="1">
      <c r="A94" s="251">
        <v>46275</v>
      </c>
      <c r="B94" s="246" t="s">
        <v>614</v>
      </c>
      <c r="C94" s="246" t="s">
        <v>612</v>
      </c>
      <c r="D94" s="246"/>
      <c r="E94" s="249" t="s">
        <v>613</v>
      </c>
      <c r="F94" s="258">
        <v>6</v>
      </c>
      <c r="G94" s="247"/>
      <c r="H94" s="247"/>
      <c r="I94" s="247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</row>
    <row r="95" spans="1:25" ht="17.45" customHeight="1">
      <c r="A95" s="251">
        <v>46305</v>
      </c>
      <c r="B95" s="246" t="s">
        <v>614</v>
      </c>
      <c r="C95" s="246" t="s">
        <v>615</v>
      </c>
      <c r="D95" s="246"/>
      <c r="E95" s="249" t="s">
        <v>536</v>
      </c>
      <c r="F95" s="258">
        <v>4</v>
      </c>
      <c r="G95" s="247"/>
      <c r="H95" s="247"/>
      <c r="I95" s="247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</row>
    <row r="96" spans="1:25" ht="17.45" customHeight="1">
      <c r="A96" s="245">
        <v>11</v>
      </c>
      <c r="B96" s="247" t="s">
        <v>94</v>
      </c>
      <c r="C96" s="245">
        <v>11</v>
      </c>
      <c r="D96" s="247" t="s">
        <v>1229</v>
      </c>
      <c r="E96" s="245"/>
      <c r="F96" s="245"/>
      <c r="G96" s="247"/>
      <c r="H96" s="247"/>
      <c r="I96" s="247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</row>
    <row r="97" spans="1:25" ht="17.45" customHeight="1">
      <c r="A97" s="251">
        <v>46214</v>
      </c>
      <c r="B97" s="246"/>
      <c r="C97" s="246" t="s">
        <v>657</v>
      </c>
      <c r="D97" s="246"/>
      <c r="E97" s="249" t="s">
        <v>1261</v>
      </c>
      <c r="F97" s="249">
        <v>5</v>
      </c>
      <c r="G97" s="246" t="s">
        <v>105</v>
      </c>
      <c r="H97" s="246"/>
      <c r="I97" s="246"/>
    </row>
    <row r="98" spans="1:25" ht="17.45" customHeight="1">
      <c r="A98" s="251">
        <v>46123</v>
      </c>
      <c r="B98" s="246"/>
      <c r="C98" s="246" t="s">
        <v>648</v>
      </c>
      <c r="D98" s="246"/>
      <c r="E98" s="249" t="s">
        <v>1246</v>
      </c>
      <c r="F98" s="249">
        <v>1</v>
      </c>
      <c r="G98" s="246" t="s">
        <v>109</v>
      </c>
      <c r="H98" s="246"/>
      <c r="I98" s="246"/>
    </row>
    <row r="99" spans="1:25" ht="17.45" customHeight="1">
      <c r="A99" s="251">
        <v>46306</v>
      </c>
      <c r="B99" s="246"/>
      <c r="C99" s="246" t="s">
        <v>654</v>
      </c>
      <c r="D99" s="246"/>
      <c r="E99" s="249" t="s">
        <v>1262</v>
      </c>
      <c r="F99" s="249">
        <v>8</v>
      </c>
      <c r="G99" s="246" t="s">
        <v>117</v>
      </c>
      <c r="H99" s="246"/>
      <c r="I99" s="246"/>
    </row>
    <row r="100" spans="1:25" ht="17.45" customHeight="1">
      <c r="A100" s="251">
        <v>46064</v>
      </c>
      <c r="B100" s="246"/>
      <c r="C100" s="246" t="s">
        <v>616</v>
      </c>
      <c r="D100" s="246"/>
      <c r="E100" s="249" t="s">
        <v>622</v>
      </c>
      <c r="F100" s="249">
        <v>1</v>
      </c>
      <c r="G100" s="246" t="s">
        <v>124</v>
      </c>
      <c r="H100" s="246"/>
      <c r="I100" s="246"/>
    </row>
    <row r="101" spans="1:25" ht="17.45" customHeight="1">
      <c r="A101" s="251">
        <v>46153</v>
      </c>
      <c r="B101" s="246"/>
      <c r="C101" s="246" t="s">
        <v>625</v>
      </c>
      <c r="D101" s="246"/>
      <c r="E101" s="249" t="s">
        <v>533</v>
      </c>
      <c r="F101" s="249">
        <v>2</v>
      </c>
      <c r="G101" s="246" t="s">
        <v>1167</v>
      </c>
      <c r="H101" s="246"/>
      <c r="I101" s="246"/>
    </row>
    <row r="102" spans="1:25" ht="17.45" customHeight="1">
      <c r="A102" s="251">
        <v>46092</v>
      </c>
      <c r="B102" s="246"/>
      <c r="C102" s="246" t="s">
        <v>529</v>
      </c>
      <c r="D102" s="246"/>
      <c r="E102" s="249" t="s">
        <v>1246</v>
      </c>
      <c r="F102" s="249">
        <v>1</v>
      </c>
      <c r="G102" s="246" t="s">
        <v>1169</v>
      </c>
      <c r="H102" s="246"/>
      <c r="I102" s="246"/>
    </row>
    <row r="103" spans="1:25" ht="17.45" customHeight="1">
      <c r="A103" s="251">
        <v>46276</v>
      </c>
      <c r="B103" s="246"/>
      <c r="C103" s="246" t="s">
        <v>419</v>
      </c>
      <c r="D103" s="246"/>
      <c r="E103" s="249" t="s">
        <v>1263</v>
      </c>
      <c r="F103" s="249">
        <v>7</v>
      </c>
      <c r="G103" s="246"/>
      <c r="H103" s="246" t="s">
        <v>111</v>
      </c>
      <c r="I103" s="246"/>
    </row>
    <row r="104" spans="1:25" ht="17.45" customHeight="1">
      <c r="A104" s="251">
        <v>46033</v>
      </c>
      <c r="B104" s="246"/>
      <c r="C104" s="246" t="s">
        <v>341</v>
      </c>
      <c r="D104" s="246"/>
      <c r="E104" s="249" t="s">
        <v>635</v>
      </c>
      <c r="F104" s="249">
        <v>1</v>
      </c>
      <c r="G104" s="246"/>
      <c r="H104" s="246" t="s">
        <v>129</v>
      </c>
      <c r="I104" s="246"/>
    </row>
    <row r="105" spans="1:25" ht="17.45" customHeight="1">
      <c r="A105" s="251">
        <v>46245</v>
      </c>
      <c r="B105" s="246"/>
      <c r="C105" s="246" t="s">
        <v>84</v>
      </c>
      <c r="D105" s="246"/>
      <c r="E105" s="249" t="s">
        <v>553</v>
      </c>
      <c r="F105" s="249">
        <v>5</v>
      </c>
      <c r="G105" s="246"/>
      <c r="H105" s="246" t="s">
        <v>134</v>
      </c>
      <c r="I105" s="246"/>
    </row>
    <row r="106" spans="1:25" ht="17.45" customHeight="1">
      <c r="A106" s="251">
        <v>46337</v>
      </c>
      <c r="B106" s="246"/>
      <c r="C106" s="246" t="s">
        <v>313</v>
      </c>
      <c r="D106" s="246"/>
      <c r="E106" s="249" t="s">
        <v>1264</v>
      </c>
      <c r="F106" s="249">
        <v>8</v>
      </c>
      <c r="G106" s="246"/>
      <c r="H106" s="246" t="s">
        <v>374</v>
      </c>
      <c r="I106" s="246"/>
    </row>
    <row r="107" spans="1:25" ht="17.45" customHeight="1">
      <c r="A107" s="251">
        <v>46184</v>
      </c>
      <c r="B107" s="246"/>
      <c r="C107" s="246" t="s">
        <v>535</v>
      </c>
      <c r="D107" s="246"/>
      <c r="E107" s="249" t="s">
        <v>536</v>
      </c>
      <c r="F107" s="249">
        <v>4</v>
      </c>
      <c r="G107" s="246"/>
      <c r="H107" s="246" t="s">
        <v>1168</v>
      </c>
      <c r="I107" s="246"/>
    </row>
    <row r="108" spans="1:25" ht="17.45" customHeight="1">
      <c r="A108" s="245">
        <v>12</v>
      </c>
      <c r="B108" s="247" t="s">
        <v>97</v>
      </c>
      <c r="C108" s="245">
        <v>9</v>
      </c>
      <c r="D108" s="247" t="s">
        <v>1229</v>
      </c>
      <c r="E108" s="245"/>
      <c r="F108" s="245"/>
      <c r="G108" s="247"/>
      <c r="H108" s="247"/>
      <c r="I108" s="247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</row>
    <row r="109" spans="1:25" ht="17.45" customHeight="1">
      <c r="A109" s="251">
        <v>46154</v>
      </c>
      <c r="B109" s="246"/>
      <c r="C109" s="246" t="s">
        <v>670</v>
      </c>
      <c r="D109" s="246"/>
      <c r="E109" s="249" t="s">
        <v>1246</v>
      </c>
      <c r="F109" s="249">
        <v>1</v>
      </c>
      <c r="G109" s="246" t="s">
        <v>105</v>
      </c>
      <c r="H109" s="246"/>
      <c r="I109" s="246"/>
    </row>
    <row r="110" spans="1:25" ht="17.45" customHeight="1">
      <c r="A110" s="251">
        <v>46093</v>
      </c>
      <c r="B110" s="246"/>
      <c r="C110" s="246" t="s">
        <v>1265</v>
      </c>
      <c r="D110" s="246"/>
      <c r="E110" s="249" t="s">
        <v>1246</v>
      </c>
      <c r="F110" s="249">
        <v>1</v>
      </c>
      <c r="G110" s="246" t="s">
        <v>109</v>
      </c>
      <c r="H110" s="246"/>
      <c r="I110" s="246"/>
    </row>
    <row r="111" spans="1:25" ht="17.45" customHeight="1">
      <c r="A111" s="251">
        <v>46034</v>
      </c>
      <c r="B111" s="246"/>
      <c r="C111" s="246" t="s">
        <v>695</v>
      </c>
      <c r="D111" s="246"/>
      <c r="E111" s="249" t="s">
        <v>922</v>
      </c>
      <c r="F111" s="249">
        <v>1</v>
      </c>
      <c r="G111" s="246" t="s">
        <v>117</v>
      </c>
      <c r="H111" s="246"/>
      <c r="I111" s="246"/>
    </row>
    <row r="112" spans="1:25" ht="17.45" customHeight="1">
      <c r="A112" s="251">
        <v>46246</v>
      </c>
      <c r="B112" s="246"/>
      <c r="C112" s="246" t="s">
        <v>283</v>
      </c>
      <c r="D112" s="246"/>
      <c r="E112" s="249" t="s">
        <v>1266</v>
      </c>
      <c r="F112" s="249">
        <v>6</v>
      </c>
      <c r="G112" s="246" t="s">
        <v>124</v>
      </c>
      <c r="H112" s="246"/>
      <c r="I112" s="246"/>
    </row>
    <row r="113" spans="1:25" ht="17.45" customHeight="1">
      <c r="A113" s="251">
        <v>46185</v>
      </c>
      <c r="B113" s="246"/>
      <c r="C113" s="246" t="s">
        <v>689</v>
      </c>
      <c r="D113" s="246"/>
      <c r="E113" s="249" t="s">
        <v>1267</v>
      </c>
      <c r="F113" s="249">
        <v>3</v>
      </c>
      <c r="G113" s="246" t="s">
        <v>1167</v>
      </c>
      <c r="H113" s="246"/>
      <c r="I113" s="246"/>
    </row>
    <row r="114" spans="1:25" ht="17.45" customHeight="1">
      <c r="A114" s="251">
        <v>46065</v>
      </c>
      <c r="B114" s="246"/>
      <c r="C114" s="246" t="s">
        <v>680</v>
      </c>
      <c r="D114" s="246"/>
      <c r="E114" s="249" t="s">
        <v>922</v>
      </c>
      <c r="F114" s="249">
        <v>1</v>
      </c>
      <c r="G114" s="246"/>
      <c r="H114" s="246" t="s">
        <v>129</v>
      </c>
      <c r="I114" s="246"/>
    </row>
    <row r="115" spans="1:25" ht="17.45" customHeight="1">
      <c r="A115" s="251">
        <v>46215</v>
      </c>
      <c r="B115" s="246"/>
      <c r="C115" s="246" t="s">
        <v>698</v>
      </c>
      <c r="D115" s="246"/>
      <c r="E115" s="249" t="s">
        <v>553</v>
      </c>
      <c r="F115" s="249">
        <v>5</v>
      </c>
      <c r="G115" s="246"/>
      <c r="H115" s="246" t="s">
        <v>134</v>
      </c>
      <c r="I115" s="246"/>
    </row>
    <row r="116" spans="1:25" ht="17.45" customHeight="1">
      <c r="A116" s="251">
        <v>46124</v>
      </c>
      <c r="B116" s="246"/>
      <c r="C116" s="246" t="s">
        <v>685</v>
      </c>
      <c r="D116" s="246"/>
      <c r="E116" s="249" t="s">
        <v>1246</v>
      </c>
      <c r="F116" s="249">
        <v>1</v>
      </c>
      <c r="G116" s="246"/>
      <c r="H116" s="246" t="s">
        <v>374</v>
      </c>
      <c r="I116" s="246"/>
    </row>
    <row r="117" spans="1:25" ht="17.45" customHeight="1">
      <c r="A117" s="251">
        <v>46277</v>
      </c>
      <c r="B117" s="246"/>
      <c r="C117" s="246" t="s">
        <v>691</v>
      </c>
      <c r="D117" s="246"/>
      <c r="E117" s="249" t="s">
        <v>1262</v>
      </c>
      <c r="F117" s="249">
        <v>8</v>
      </c>
      <c r="G117" s="246"/>
      <c r="H117" s="246" t="s">
        <v>1168</v>
      </c>
      <c r="I117" s="246"/>
    </row>
    <row r="118" spans="1:25" ht="17.45" customHeight="1">
      <c r="A118" s="245">
        <v>13</v>
      </c>
      <c r="B118" s="247" t="s">
        <v>1268</v>
      </c>
      <c r="C118" s="245">
        <v>8</v>
      </c>
      <c r="D118" s="247"/>
      <c r="E118" s="245"/>
      <c r="F118" s="245"/>
      <c r="G118" s="247"/>
      <c r="H118" s="247"/>
      <c r="I118" s="247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</row>
    <row r="119" spans="1:25" ht="17.45" customHeight="1">
      <c r="A119" s="249">
        <v>13.6</v>
      </c>
      <c r="B119" s="246"/>
      <c r="C119" s="246" t="s">
        <v>1269</v>
      </c>
      <c r="D119" s="246" t="s">
        <v>722</v>
      </c>
      <c r="E119" s="249" t="s">
        <v>1258</v>
      </c>
      <c r="F119" s="249">
        <v>6</v>
      </c>
      <c r="G119" s="246"/>
      <c r="H119" s="246">
        <v>1</v>
      </c>
      <c r="I119" s="246"/>
    </row>
    <row r="120" spans="1:25" ht="17.45" customHeight="1">
      <c r="A120" s="249">
        <v>13.3</v>
      </c>
      <c r="B120" s="246"/>
      <c r="C120" s="246" t="s">
        <v>714</v>
      </c>
      <c r="D120" s="246" t="s">
        <v>716</v>
      </c>
      <c r="E120" s="249" t="s">
        <v>595</v>
      </c>
      <c r="F120" s="249">
        <v>1</v>
      </c>
      <c r="G120" s="246"/>
      <c r="H120" s="246">
        <v>2</v>
      </c>
      <c r="I120" s="246"/>
    </row>
    <row r="121" spans="1:25" ht="17.45" customHeight="1">
      <c r="A121" s="249">
        <v>13.1</v>
      </c>
      <c r="B121" s="246"/>
      <c r="C121" s="246" t="s">
        <v>708</v>
      </c>
      <c r="D121" s="246" t="s">
        <v>711</v>
      </c>
      <c r="E121" s="249" t="s">
        <v>622</v>
      </c>
      <c r="F121" s="249">
        <v>1</v>
      </c>
      <c r="G121" s="246"/>
      <c r="H121" s="246">
        <v>3</v>
      </c>
      <c r="I121" s="246"/>
    </row>
    <row r="122" spans="1:25" ht="17.45" customHeight="1">
      <c r="A122" s="249">
        <v>13.4</v>
      </c>
      <c r="B122" s="246"/>
      <c r="C122" s="246" t="s">
        <v>612</v>
      </c>
      <c r="D122" s="246" t="s">
        <v>724</v>
      </c>
      <c r="E122" s="249" t="s">
        <v>613</v>
      </c>
      <c r="F122" s="249">
        <v>6</v>
      </c>
      <c r="G122" s="246"/>
      <c r="H122" s="246">
        <v>4</v>
      </c>
      <c r="I122" s="246"/>
    </row>
    <row r="123" spans="1:25" ht="17.45" customHeight="1">
      <c r="A123" s="249">
        <v>13.8</v>
      </c>
      <c r="B123" s="246"/>
      <c r="C123" s="246" t="s">
        <v>490</v>
      </c>
      <c r="D123" s="246" t="s">
        <v>717</v>
      </c>
      <c r="E123" s="249" t="s">
        <v>1217</v>
      </c>
      <c r="F123" s="249">
        <v>7</v>
      </c>
      <c r="G123" s="246"/>
      <c r="H123" s="246">
        <v>5</v>
      </c>
      <c r="I123" s="246"/>
    </row>
    <row r="124" spans="1:25" ht="17.45" customHeight="1">
      <c r="A124" s="249">
        <v>13.2</v>
      </c>
      <c r="B124" s="246"/>
      <c r="C124" s="246" t="s">
        <v>705</v>
      </c>
      <c r="D124" s="246" t="s">
        <v>313</v>
      </c>
      <c r="E124" s="249" t="s">
        <v>622</v>
      </c>
      <c r="F124" s="249">
        <v>1</v>
      </c>
      <c r="G124" s="246"/>
      <c r="H124" s="246">
        <v>6</v>
      </c>
      <c r="I124" s="246"/>
    </row>
    <row r="125" spans="1:25" ht="17.45" customHeight="1">
      <c r="A125" s="249">
        <v>13.7</v>
      </c>
      <c r="B125" s="246"/>
      <c r="C125" s="246" t="s">
        <v>702</v>
      </c>
      <c r="D125" s="246" t="s">
        <v>704</v>
      </c>
      <c r="E125" s="249" t="s">
        <v>629</v>
      </c>
      <c r="F125" s="249">
        <v>7</v>
      </c>
      <c r="G125" s="246"/>
      <c r="H125" s="246">
        <v>7</v>
      </c>
      <c r="I125" s="246"/>
    </row>
    <row r="126" spans="1:25" ht="17.45" customHeight="1">
      <c r="A126" s="249">
        <v>13.5</v>
      </c>
      <c r="B126" s="246"/>
      <c r="C126" s="246" t="s">
        <v>205</v>
      </c>
      <c r="D126" s="246" t="s">
        <v>204</v>
      </c>
      <c r="E126" s="249" t="s">
        <v>1227</v>
      </c>
      <c r="F126" s="249">
        <v>6</v>
      </c>
      <c r="G126" s="246"/>
      <c r="H126" s="246">
        <v>8</v>
      </c>
      <c r="I126" s="246"/>
    </row>
    <row r="127" spans="1:25" ht="17.45" customHeight="1">
      <c r="A127" s="245">
        <v>14</v>
      </c>
      <c r="B127" s="247" t="s">
        <v>1270</v>
      </c>
      <c r="C127" s="245">
        <v>9</v>
      </c>
      <c r="D127" s="247"/>
      <c r="E127" s="245"/>
      <c r="F127" s="245"/>
      <c r="G127" s="247"/>
      <c r="H127" s="247"/>
      <c r="I127" s="247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</row>
    <row r="128" spans="1:25" ht="17.45" customHeight="1">
      <c r="A128" s="249">
        <v>14.6</v>
      </c>
      <c r="B128" s="246"/>
      <c r="C128" s="246" t="s">
        <v>756</v>
      </c>
      <c r="D128" s="246" t="s">
        <v>757</v>
      </c>
      <c r="E128" s="249" t="s">
        <v>557</v>
      </c>
      <c r="F128" s="249">
        <v>6</v>
      </c>
      <c r="G128" s="246" t="s">
        <v>105</v>
      </c>
      <c r="H128" s="246"/>
      <c r="I128" s="246"/>
    </row>
    <row r="129" spans="1:25" ht="17.45" customHeight="1">
      <c r="A129" s="249">
        <v>14.2</v>
      </c>
      <c r="B129" s="246"/>
      <c r="C129" s="246" t="s">
        <v>768</v>
      </c>
      <c r="D129" s="246" t="s">
        <v>765</v>
      </c>
      <c r="E129" s="249" t="s">
        <v>1271</v>
      </c>
      <c r="F129" s="249">
        <v>1</v>
      </c>
      <c r="G129" s="246" t="s">
        <v>109</v>
      </c>
      <c r="H129" s="246"/>
      <c r="I129" s="246"/>
    </row>
    <row r="130" spans="1:25" ht="17.45" customHeight="1">
      <c r="A130" s="249">
        <v>14.8</v>
      </c>
      <c r="B130" s="246"/>
      <c r="C130" s="246" t="s">
        <v>490</v>
      </c>
      <c r="D130" s="246" t="s">
        <v>758</v>
      </c>
      <c r="E130" s="249" t="s">
        <v>1217</v>
      </c>
      <c r="F130" s="249">
        <v>7</v>
      </c>
      <c r="G130" s="246" t="s">
        <v>117</v>
      </c>
      <c r="H130" s="246"/>
      <c r="I130" s="246"/>
    </row>
    <row r="131" spans="1:25" ht="17.45" customHeight="1">
      <c r="A131" s="249">
        <v>14.5</v>
      </c>
      <c r="B131" s="246"/>
      <c r="C131" s="246" t="s">
        <v>71</v>
      </c>
      <c r="D131" s="246" t="s">
        <v>1272</v>
      </c>
      <c r="E131" s="249" t="s">
        <v>553</v>
      </c>
      <c r="F131" s="249">
        <v>5</v>
      </c>
      <c r="G131" s="246"/>
      <c r="H131" s="246" t="s">
        <v>111</v>
      </c>
      <c r="I131" s="246"/>
    </row>
    <row r="132" spans="1:25" ht="17.45" customHeight="1">
      <c r="A132" s="249">
        <v>14.4</v>
      </c>
      <c r="B132" s="246"/>
      <c r="C132" s="246" t="s">
        <v>742</v>
      </c>
      <c r="D132" s="246" t="s">
        <v>737</v>
      </c>
      <c r="E132" s="249" t="s">
        <v>1238</v>
      </c>
      <c r="F132" s="249">
        <v>2</v>
      </c>
      <c r="G132" s="246"/>
      <c r="H132" s="246" t="s">
        <v>129</v>
      </c>
      <c r="I132" s="246"/>
    </row>
    <row r="133" spans="1:25" ht="17.45" customHeight="1">
      <c r="A133" s="249">
        <v>14.3</v>
      </c>
      <c r="B133" s="246"/>
      <c r="C133" s="246" t="s">
        <v>752</v>
      </c>
      <c r="D133" s="246" t="s">
        <v>753</v>
      </c>
      <c r="E133" s="249" t="s">
        <v>635</v>
      </c>
      <c r="F133" s="249">
        <v>1</v>
      </c>
      <c r="G133" s="246"/>
      <c r="H133" s="246" t="s">
        <v>134</v>
      </c>
      <c r="I133" s="246"/>
    </row>
    <row r="134" spans="1:25" ht="17.45" customHeight="1">
      <c r="A134" s="249">
        <v>14.7</v>
      </c>
      <c r="B134" s="246"/>
      <c r="C134" s="246" t="s">
        <v>1269</v>
      </c>
      <c r="D134" s="246" t="s">
        <v>764</v>
      </c>
      <c r="E134" s="249" t="s">
        <v>1258</v>
      </c>
      <c r="F134" s="249">
        <v>6</v>
      </c>
      <c r="G134" s="246"/>
      <c r="H134" s="246"/>
      <c r="I134" s="246" t="s">
        <v>500</v>
      </c>
    </row>
    <row r="135" spans="1:25" ht="17.45" customHeight="1">
      <c r="A135" s="249">
        <v>14.1</v>
      </c>
      <c r="B135" s="246"/>
      <c r="C135" s="246" t="s">
        <v>735</v>
      </c>
      <c r="D135" s="246" t="s">
        <v>730</v>
      </c>
      <c r="E135" s="249" t="s">
        <v>622</v>
      </c>
      <c r="F135" s="249">
        <v>1</v>
      </c>
      <c r="G135" s="246"/>
      <c r="H135" s="246"/>
      <c r="I135" s="246" t="s">
        <v>504</v>
      </c>
    </row>
    <row r="136" spans="1:25" ht="17.45" customHeight="1">
      <c r="A136" s="254">
        <v>14.9</v>
      </c>
      <c r="B136" s="247"/>
      <c r="C136" s="246" t="s">
        <v>749</v>
      </c>
      <c r="D136" s="246" t="s">
        <v>743</v>
      </c>
      <c r="E136" s="249" t="s">
        <v>1273</v>
      </c>
      <c r="F136" s="249">
        <v>7</v>
      </c>
      <c r="G136" s="247"/>
      <c r="H136" s="247"/>
      <c r="I136" s="246" t="s">
        <v>507</v>
      </c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</row>
    <row r="137" spans="1:25" ht="17.45" customHeight="1">
      <c r="A137" s="245">
        <v>15</v>
      </c>
      <c r="B137" s="247" t="s">
        <v>1274</v>
      </c>
      <c r="C137" s="245">
        <v>8</v>
      </c>
      <c r="D137" s="247"/>
      <c r="E137" s="245"/>
      <c r="F137" s="245"/>
      <c r="G137" s="247"/>
      <c r="H137" s="246"/>
      <c r="I137" s="246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</row>
    <row r="138" spans="1:25" ht="17.45" customHeight="1">
      <c r="A138" s="249">
        <v>15.1</v>
      </c>
      <c r="B138" s="246"/>
      <c r="C138" s="246" t="s">
        <v>726</v>
      </c>
      <c r="D138" s="246" t="s">
        <v>778</v>
      </c>
      <c r="E138" s="249" t="s">
        <v>136</v>
      </c>
      <c r="F138" s="249">
        <v>1</v>
      </c>
      <c r="G138" s="246"/>
      <c r="H138" s="246">
        <v>1</v>
      </c>
      <c r="I138" s="246"/>
    </row>
    <row r="139" spans="1:25" ht="17.45" customHeight="1">
      <c r="A139" s="249">
        <v>15.8</v>
      </c>
      <c r="B139" s="246"/>
      <c r="C139" s="246" t="s">
        <v>790</v>
      </c>
      <c r="D139" s="246" t="s">
        <v>794</v>
      </c>
      <c r="E139" s="249" t="s">
        <v>545</v>
      </c>
      <c r="F139" s="249">
        <v>8</v>
      </c>
      <c r="G139" s="246"/>
      <c r="H139" s="246">
        <v>2</v>
      </c>
      <c r="I139" s="246"/>
    </row>
    <row r="140" spans="1:25" ht="17.45" customHeight="1">
      <c r="A140" s="249">
        <v>15.5</v>
      </c>
      <c r="B140" s="246"/>
      <c r="C140" s="246" t="s">
        <v>1272</v>
      </c>
      <c r="D140" s="246" t="s">
        <v>814</v>
      </c>
      <c r="E140" s="249" t="s">
        <v>553</v>
      </c>
      <c r="F140" s="249">
        <v>5</v>
      </c>
      <c r="G140" s="246"/>
      <c r="H140" s="246">
        <v>3</v>
      </c>
      <c r="I140" s="246"/>
    </row>
    <row r="141" spans="1:25" ht="17.45" customHeight="1">
      <c r="A141" s="249">
        <v>15.4</v>
      </c>
      <c r="B141" s="246"/>
      <c r="C141" s="246" t="s">
        <v>801</v>
      </c>
      <c r="D141" s="246" t="s">
        <v>804</v>
      </c>
      <c r="E141" s="249" t="s">
        <v>1271</v>
      </c>
      <c r="F141" s="249">
        <v>1</v>
      </c>
      <c r="G141" s="246"/>
      <c r="H141" s="246">
        <v>4</v>
      </c>
      <c r="I141" s="246"/>
    </row>
    <row r="142" spans="1:25" ht="17.45" customHeight="1">
      <c r="A142" s="249">
        <v>15.2</v>
      </c>
      <c r="B142" s="246"/>
      <c r="C142" s="246" t="s">
        <v>780</v>
      </c>
      <c r="D142" s="246" t="s">
        <v>784</v>
      </c>
      <c r="E142" s="249" t="s">
        <v>1275</v>
      </c>
      <c r="F142" s="249">
        <v>1</v>
      </c>
      <c r="G142" s="246"/>
      <c r="H142" s="246">
        <v>5</v>
      </c>
      <c r="I142" s="246"/>
    </row>
    <row r="143" spans="1:25" ht="17.45" customHeight="1">
      <c r="A143" s="249">
        <v>15.7</v>
      </c>
      <c r="B143" s="246"/>
      <c r="C143" s="246" t="s">
        <v>750</v>
      </c>
      <c r="D143" s="246" t="s">
        <v>799</v>
      </c>
      <c r="E143" s="249" t="s">
        <v>613</v>
      </c>
      <c r="F143" s="249">
        <v>6</v>
      </c>
      <c r="G143" s="246"/>
      <c r="H143" s="246">
        <v>6</v>
      </c>
      <c r="I143" s="246"/>
    </row>
    <row r="144" spans="1:25" ht="17.45" customHeight="1">
      <c r="A144" s="249">
        <v>15.6</v>
      </c>
      <c r="B144" s="246"/>
      <c r="C144" s="246" t="s">
        <v>764</v>
      </c>
      <c r="D144" s="246" t="s">
        <v>788</v>
      </c>
      <c r="E144" s="249" t="s">
        <v>1258</v>
      </c>
      <c r="F144" s="249">
        <v>6</v>
      </c>
      <c r="G144" s="246"/>
      <c r="H144" s="246">
        <v>7</v>
      </c>
      <c r="I144" s="246"/>
    </row>
    <row r="145" spans="1:25" ht="17.45" customHeight="1">
      <c r="A145" s="249">
        <v>15.3</v>
      </c>
      <c r="B145" s="246"/>
      <c r="C145" s="246" t="s">
        <v>807</v>
      </c>
      <c r="D145" s="246" t="s">
        <v>765</v>
      </c>
      <c r="E145" s="249" t="s">
        <v>1271</v>
      </c>
      <c r="F145" s="249">
        <v>1</v>
      </c>
      <c r="G145" s="246"/>
      <c r="H145" s="246">
        <v>8</v>
      </c>
      <c r="I145" s="246"/>
    </row>
    <row r="146" spans="1:25" ht="17.45" customHeight="1">
      <c r="A146" s="245">
        <v>16</v>
      </c>
      <c r="B146" s="247" t="s">
        <v>1276</v>
      </c>
      <c r="C146" s="245">
        <v>8</v>
      </c>
      <c r="D146" s="247"/>
      <c r="E146" s="245"/>
      <c r="F146" s="245"/>
      <c r="G146" s="247"/>
      <c r="H146" s="247"/>
      <c r="I146" s="247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</row>
    <row r="147" spans="1:25" ht="17.45" customHeight="1">
      <c r="A147" s="249">
        <v>16.5</v>
      </c>
      <c r="B147" s="246"/>
      <c r="C147" s="246" t="s">
        <v>71</v>
      </c>
      <c r="D147" s="246"/>
      <c r="E147" s="249" t="s">
        <v>553</v>
      </c>
      <c r="F147" s="249">
        <v>5</v>
      </c>
      <c r="G147" s="246"/>
      <c r="H147" s="246">
        <v>1</v>
      </c>
      <c r="I147" s="246"/>
    </row>
    <row r="148" spans="1:25" ht="17.45" customHeight="1">
      <c r="A148" s="249">
        <v>16.3</v>
      </c>
      <c r="B148" s="246"/>
      <c r="C148" s="246" t="s">
        <v>735</v>
      </c>
      <c r="D148" s="246"/>
      <c r="E148" s="249" t="s">
        <v>622</v>
      </c>
      <c r="F148" s="249">
        <v>1</v>
      </c>
      <c r="G148" s="246"/>
      <c r="H148" s="246">
        <v>2</v>
      </c>
      <c r="I148" s="246"/>
    </row>
    <row r="149" spans="1:25" ht="17.45" customHeight="1">
      <c r="A149" s="249">
        <v>16.100000000000001</v>
      </c>
      <c r="B149" s="246"/>
      <c r="C149" s="246" t="s">
        <v>714</v>
      </c>
      <c r="D149" s="246"/>
      <c r="E149" s="249" t="s">
        <v>595</v>
      </c>
      <c r="F149" s="249">
        <v>1</v>
      </c>
      <c r="G149" s="246"/>
      <c r="H149" s="246">
        <v>3</v>
      </c>
      <c r="I149" s="246"/>
    </row>
    <row r="150" spans="1:25" ht="17.45" customHeight="1">
      <c r="A150" s="249">
        <v>16.7</v>
      </c>
      <c r="B150" s="246"/>
      <c r="C150" s="246" t="s">
        <v>749</v>
      </c>
      <c r="D150" s="246"/>
      <c r="E150" s="249" t="s">
        <v>1273</v>
      </c>
      <c r="F150" s="249">
        <v>7</v>
      </c>
      <c r="G150" s="246"/>
      <c r="H150" s="246">
        <v>4</v>
      </c>
      <c r="I150" s="246"/>
    </row>
    <row r="151" spans="1:25" ht="17.45" customHeight="1">
      <c r="A151" s="249">
        <v>16.600000000000001</v>
      </c>
      <c r="B151" s="246"/>
      <c r="C151" s="246" t="s">
        <v>756</v>
      </c>
      <c r="D151" s="246"/>
      <c r="E151" s="249" t="s">
        <v>557</v>
      </c>
      <c r="F151" s="249">
        <v>6</v>
      </c>
      <c r="G151" s="246"/>
      <c r="H151" s="246">
        <v>5</v>
      </c>
      <c r="I151" s="246"/>
    </row>
    <row r="152" spans="1:25" ht="17.45" customHeight="1">
      <c r="A152" s="249">
        <v>16.399999999999999</v>
      </c>
      <c r="B152" s="246"/>
      <c r="C152" s="246" t="s">
        <v>711</v>
      </c>
      <c r="D152" s="246"/>
      <c r="E152" s="249" t="s">
        <v>622</v>
      </c>
      <c r="F152" s="249">
        <v>1</v>
      </c>
      <c r="G152" s="246"/>
      <c r="H152" s="246">
        <v>6</v>
      </c>
      <c r="I152" s="246"/>
    </row>
    <row r="153" spans="1:25" ht="17.45" customHeight="1">
      <c r="A153" s="249">
        <v>16.2</v>
      </c>
      <c r="B153" s="246"/>
      <c r="C153" s="246" t="s">
        <v>716</v>
      </c>
      <c r="D153" s="246"/>
      <c r="E153" s="249" t="s">
        <v>595</v>
      </c>
      <c r="F153" s="249">
        <v>1</v>
      </c>
      <c r="G153" s="246"/>
      <c r="H153" s="246">
        <v>7</v>
      </c>
      <c r="I153" s="246"/>
    </row>
    <row r="154" spans="1:25" ht="17.45" customHeight="1">
      <c r="A154" s="249">
        <v>16.8</v>
      </c>
      <c r="B154" s="246"/>
      <c r="C154" s="246" t="s">
        <v>825</v>
      </c>
      <c r="D154" s="246"/>
      <c r="E154" s="249" t="s">
        <v>550</v>
      </c>
      <c r="F154" s="249">
        <v>8</v>
      </c>
      <c r="G154" s="246"/>
      <c r="H154" s="246">
        <v>8</v>
      </c>
      <c r="I154" s="246"/>
    </row>
    <row r="155" spans="1:25" ht="17.45" customHeight="1">
      <c r="A155" s="245">
        <v>17</v>
      </c>
      <c r="B155" s="247" t="s">
        <v>1277</v>
      </c>
      <c r="C155" s="245">
        <v>8</v>
      </c>
      <c r="D155" s="247"/>
      <c r="E155" s="245"/>
      <c r="F155" s="245"/>
      <c r="G155" s="247"/>
      <c r="H155" s="246"/>
      <c r="I155" s="246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</row>
    <row r="156" spans="1:25" ht="17.45" customHeight="1">
      <c r="A156" s="249">
        <v>17.100000000000001</v>
      </c>
      <c r="B156" s="246"/>
      <c r="C156" s="246" t="s">
        <v>862</v>
      </c>
      <c r="D156" s="246"/>
      <c r="E156" s="249" t="s">
        <v>922</v>
      </c>
      <c r="F156" s="249">
        <v>1</v>
      </c>
      <c r="G156" s="246"/>
      <c r="H156" s="246">
        <v>1</v>
      </c>
      <c r="I156" s="247"/>
      <c r="J156" s="248"/>
    </row>
    <row r="157" spans="1:25" ht="17.45" customHeight="1">
      <c r="A157" s="249">
        <v>17.7</v>
      </c>
      <c r="B157" s="247"/>
      <c r="C157" s="246" t="s">
        <v>845</v>
      </c>
      <c r="D157" s="246"/>
      <c r="E157" s="249" t="s">
        <v>629</v>
      </c>
      <c r="F157" s="249">
        <v>7</v>
      </c>
      <c r="G157" s="247"/>
      <c r="H157" s="246">
        <v>2</v>
      </c>
      <c r="I157" s="246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</row>
    <row r="158" spans="1:25" ht="17.45" customHeight="1">
      <c r="A158" s="249">
        <v>17.8</v>
      </c>
      <c r="B158" s="247"/>
      <c r="C158" s="246" t="s">
        <v>858</v>
      </c>
      <c r="D158" s="246"/>
      <c r="E158" s="249" t="s">
        <v>1262</v>
      </c>
      <c r="F158" s="249">
        <v>8</v>
      </c>
      <c r="G158" s="247"/>
      <c r="H158" s="246">
        <v>3</v>
      </c>
      <c r="I158" s="246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</row>
    <row r="159" spans="1:25" ht="17.45" customHeight="1">
      <c r="A159" s="249">
        <v>17.3</v>
      </c>
      <c r="B159" s="246"/>
      <c r="C159" s="246" t="s">
        <v>780</v>
      </c>
      <c r="D159" s="246"/>
      <c r="E159" s="249" t="s">
        <v>1275</v>
      </c>
      <c r="F159" s="249">
        <v>1</v>
      </c>
      <c r="G159" s="246"/>
      <c r="H159" s="246">
        <v>4</v>
      </c>
      <c r="I159" s="246"/>
    </row>
    <row r="160" spans="1:25" ht="17.45" customHeight="1">
      <c r="A160" s="249">
        <v>17.600000000000001</v>
      </c>
      <c r="B160" s="246"/>
      <c r="C160" s="246" t="s">
        <v>848</v>
      </c>
      <c r="D160" s="246"/>
      <c r="E160" s="249" t="s">
        <v>1227</v>
      </c>
      <c r="F160" s="249">
        <v>6</v>
      </c>
      <c r="G160" s="246"/>
      <c r="H160" s="246">
        <v>5</v>
      </c>
      <c r="I160" s="246"/>
    </row>
    <row r="161" spans="1:25" ht="17.45" customHeight="1">
      <c r="A161" s="249">
        <v>17.399999999999999</v>
      </c>
      <c r="B161" s="246"/>
      <c r="C161" s="246" t="s">
        <v>753</v>
      </c>
      <c r="D161" s="246"/>
      <c r="E161" s="249" t="s">
        <v>635</v>
      </c>
      <c r="F161" s="249">
        <v>1</v>
      </c>
      <c r="G161" s="246"/>
      <c r="H161" s="246">
        <v>6</v>
      </c>
      <c r="I161" s="246"/>
    </row>
    <row r="162" spans="1:25" ht="17.45" customHeight="1">
      <c r="A162" s="249">
        <v>17.5</v>
      </c>
      <c r="B162" s="246"/>
      <c r="C162" s="246" t="s">
        <v>788</v>
      </c>
      <c r="D162" s="246"/>
      <c r="E162" s="249" t="s">
        <v>1258</v>
      </c>
      <c r="F162" s="249">
        <v>6</v>
      </c>
      <c r="G162" s="246"/>
      <c r="H162" s="246">
        <v>7</v>
      </c>
      <c r="I162" s="246"/>
    </row>
    <row r="163" spans="1:25" ht="17.45" customHeight="1">
      <c r="A163" s="249">
        <v>17.2</v>
      </c>
      <c r="B163" s="246"/>
      <c r="C163" s="246" t="s">
        <v>801</v>
      </c>
      <c r="D163" s="246"/>
      <c r="E163" s="249" t="s">
        <v>1271</v>
      </c>
      <c r="F163" s="249">
        <v>1</v>
      </c>
      <c r="G163" s="246"/>
      <c r="H163" s="246">
        <v>8</v>
      </c>
      <c r="I163" s="246"/>
    </row>
    <row r="164" spans="1:25" ht="17.45" customHeight="1">
      <c r="A164" s="245">
        <v>18</v>
      </c>
      <c r="B164" s="247" t="s">
        <v>1278</v>
      </c>
      <c r="C164" s="245">
        <v>8</v>
      </c>
      <c r="D164" s="247"/>
      <c r="E164" s="245"/>
      <c r="F164" s="245"/>
      <c r="G164" s="247"/>
      <c r="H164" s="246"/>
      <c r="I164" s="246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</row>
    <row r="165" spans="1:25" ht="17.45" customHeight="1">
      <c r="A165" s="251">
        <v>46130</v>
      </c>
      <c r="B165" s="246"/>
      <c r="C165" s="246" t="s">
        <v>313</v>
      </c>
      <c r="D165" s="246" t="s">
        <v>705</v>
      </c>
      <c r="E165" s="249" t="s">
        <v>622</v>
      </c>
      <c r="F165" s="249">
        <v>1</v>
      </c>
      <c r="G165" s="246"/>
      <c r="H165" s="246">
        <v>1</v>
      </c>
      <c r="I165" s="246"/>
    </row>
    <row r="166" spans="1:25" ht="17.45" customHeight="1">
      <c r="A166" s="251">
        <v>46221</v>
      </c>
      <c r="B166" s="246"/>
      <c r="C166" s="246" t="s">
        <v>834</v>
      </c>
      <c r="D166" s="246" t="s">
        <v>837</v>
      </c>
      <c r="E166" s="249" t="s">
        <v>540</v>
      </c>
      <c r="F166" s="249">
        <v>6</v>
      </c>
      <c r="G166" s="246"/>
      <c r="H166" s="246">
        <v>2</v>
      </c>
      <c r="I166" s="246"/>
    </row>
    <row r="167" spans="1:25" ht="17.45" customHeight="1">
      <c r="A167" s="251">
        <v>46071</v>
      </c>
      <c r="B167" s="246"/>
      <c r="C167" s="246" t="s">
        <v>842</v>
      </c>
      <c r="D167" s="246" t="s">
        <v>847</v>
      </c>
      <c r="E167" s="255" t="s">
        <v>1279</v>
      </c>
      <c r="F167" s="249">
        <v>1</v>
      </c>
      <c r="G167" s="246"/>
      <c r="H167" s="246">
        <v>3</v>
      </c>
      <c r="I167" s="246"/>
    </row>
    <row r="168" spans="1:25" ht="17.45" customHeight="1">
      <c r="A168" s="251">
        <v>46252</v>
      </c>
      <c r="B168" s="246"/>
      <c r="C168" s="246" t="s">
        <v>850</v>
      </c>
      <c r="D168" s="246" t="s">
        <v>853</v>
      </c>
      <c r="E168" s="255" t="s">
        <v>545</v>
      </c>
      <c r="F168" s="249">
        <v>8</v>
      </c>
      <c r="G168" s="246"/>
      <c r="H168" s="246">
        <v>4</v>
      </c>
      <c r="I168" s="246"/>
    </row>
    <row r="169" spans="1:25" ht="17.45" customHeight="1">
      <c r="A169" s="251">
        <v>46191</v>
      </c>
      <c r="B169" s="246"/>
      <c r="C169" s="246" t="s">
        <v>817</v>
      </c>
      <c r="D169" s="246" t="s">
        <v>821</v>
      </c>
      <c r="E169" s="249" t="s">
        <v>1280</v>
      </c>
      <c r="F169" s="249">
        <v>4</v>
      </c>
      <c r="G169" s="246"/>
      <c r="H169" s="246">
        <v>5</v>
      </c>
      <c r="I169" s="246"/>
    </row>
    <row r="170" spans="1:25" ht="17.45" customHeight="1">
      <c r="A170" s="251">
        <v>46099</v>
      </c>
      <c r="B170" s="246"/>
      <c r="C170" s="246" t="s">
        <v>828</v>
      </c>
      <c r="D170" s="246" t="s">
        <v>831</v>
      </c>
      <c r="E170" s="249" t="s">
        <v>622</v>
      </c>
      <c r="F170" s="249">
        <v>1</v>
      </c>
      <c r="G170" s="246"/>
      <c r="H170" s="246">
        <v>6</v>
      </c>
      <c r="I170" s="246"/>
    </row>
    <row r="171" spans="1:25" ht="17.45" customHeight="1">
      <c r="A171" s="251">
        <v>46040</v>
      </c>
      <c r="B171" s="246"/>
      <c r="C171" s="246" t="s">
        <v>855</v>
      </c>
      <c r="D171" s="246" t="s">
        <v>762</v>
      </c>
      <c r="E171" s="249" t="s">
        <v>922</v>
      </c>
      <c r="F171" s="249">
        <v>1</v>
      </c>
      <c r="G171" s="246"/>
      <c r="H171" s="246">
        <v>7</v>
      </c>
      <c r="I171" s="246"/>
    </row>
    <row r="172" spans="1:25" ht="17.45" customHeight="1">
      <c r="A172" s="251">
        <v>46160</v>
      </c>
      <c r="B172" s="246"/>
      <c r="C172" s="246" t="s">
        <v>840</v>
      </c>
      <c r="D172" s="246" t="s">
        <v>225</v>
      </c>
      <c r="E172" s="249" t="s">
        <v>1281</v>
      </c>
      <c r="F172" s="249">
        <v>2</v>
      </c>
      <c r="G172" s="246"/>
      <c r="H172" s="246">
        <v>8</v>
      </c>
      <c r="I172" s="246"/>
    </row>
    <row r="173" spans="1:25" ht="17.45" customHeight="1">
      <c r="A173" s="245">
        <v>19</v>
      </c>
      <c r="B173" s="247" t="s">
        <v>1282</v>
      </c>
      <c r="C173" s="245">
        <v>8</v>
      </c>
      <c r="D173" s="247"/>
      <c r="E173" s="245"/>
      <c r="F173" s="245"/>
      <c r="G173" s="247"/>
      <c r="H173" s="247"/>
      <c r="I173" s="247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</row>
    <row r="174" spans="1:25" ht="17.45" customHeight="1">
      <c r="A174" s="251">
        <v>46041</v>
      </c>
      <c r="B174" s="246"/>
      <c r="C174" s="246" t="s">
        <v>762</v>
      </c>
      <c r="D174" s="246" t="s">
        <v>769</v>
      </c>
      <c r="E174" s="249" t="s">
        <v>922</v>
      </c>
      <c r="F174" s="249">
        <v>1</v>
      </c>
      <c r="G174" s="246"/>
      <c r="H174" s="246">
        <v>1</v>
      </c>
      <c r="I174" s="246"/>
    </row>
    <row r="175" spans="1:25" ht="17.45" customHeight="1">
      <c r="A175" s="251">
        <v>46131</v>
      </c>
      <c r="B175" s="246"/>
      <c r="C175" s="246" t="s">
        <v>760</v>
      </c>
      <c r="D175" s="246" t="s">
        <v>369</v>
      </c>
      <c r="E175" s="249" t="s">
        <v>588</v>
      </c>
      <c r="F175" s="249">
        <v>2</v>
      </c>
      <c r="G175" s="246"/>
      <c r="H175" s="246">
        <v>2</v>
      </c>
      <c r="I175" s="246"/>
    </row>
    <row r="176" spans="1:25" ht="17.45" customHeight="1">
      <c r="A176" s="251">
        <v>46192</v>
      </c>
      <c r="B176" s="246"/>
      <c r="C176" s="246" t="s">
        <v>467</v>
      </c>
      <c r="D176" s="246" t="s">
        <v>468</v>
      </c>
      <c r="E176" s="249" t="s">
        <v>1283</v>
      </c>
      <c r="F176" s="249">
        <v>5</v>
      </c>
      <c r="G176" s="246"/>
      <c r="H176" s="246">
        <v>3</v>
      </c>
      <c r="I176" s="246"/>
    </row>
    <row r="177" spans="1:25" ht="17.45" customHeight="1">
      <c r="A177" s="251">
        <v>46222</v>
      </c>
      <c r="B177" s="246"/>
      <c r="C177" s="246" t="s">
        <v>755</v>
      </c>
      <c r="D177" s="246" t="s">
        <v>750</v>
      </c>
      <c r="E177" s="249" t="s">
        <v>613</v>
      </c>
      <c r="F177" s="249">
        <v>6</v>
      </c>
      <c r="G177" s="246"/>
      <c r="H177" s="246">
        <v>4</v>
      </c>
      <c r="I177" s="246"/>
    </row>
    <row r="178" spans="1:25" ht="17.45" customHeight="1">
      <c r="A178" s="251">
        <v>46100</v>
      </c>
      <c r="B178" s="246"/>
      <c r="C178" s="246" t="s">
        <v>732</v>
      </c>
      <c r="D178" s="246" t="s">
        <v>726</v>
      </c>
      <c r="E178" s="249" t="s">
        <v>1246</v>
      </c>
      <c r="F178" s="249">
        <v>1</v>
      </c>
      <c r="G178" s="246"/>
      <c r="H178" s="246">
        <v>5</v>
      </c>
      <c r="I178" s="246"/>
    </row>
    <row r="179" spans="1:25" ht="17.45" customHeight="1">
      <c r="A179" s="251">
        <v>46161</v>
      </c>
      <c r="B179" s="246"/>
      <c r="C179" s="246" t="s">
        <v>746</v>
      </c>
      <c r="D179" s="246" t="s">
        <v>1284</v>
      </c>
      <c r="E179" s="249" t="s">
        <v>1261</v>
      </c>
      <c r="F179" s="249">
        <v>5</v>
      </c>
      <c r="G179" s="246"/>
      <c r="H179" s="246">
        <v>6</v>
      </c>
      <c r="I179" s="246"/>
    </row>
    <row r="180" spans="1:25" ht="17.45" customHeight="1">
      <c r="A180" s="251">
        <v>46072</v>
      </c>
      <c r="B180" s="246"/>
      <c r="C180" s="246" t="s">
        <v>745</v>
      </c>
      <c r="D180" s="246" t="s">
        <v>495</v>
      </c>
      <c r="E180" s="249" t="s">
        <v>1246</v>
      </c>
      <c r="F180" s="249">
        <v>1</v>
      </c>
      <c r="G180" s="246"/>
      <c r="H180" s="246">
        <v>7</v>
      </c>
      <c r="I180" s="246"/>
    </row>
    <row r="181" spans="1:25" ht="17.45" customHeight="1">
      <c r="A181" s="256" t="s">
        <v>1285</v>
      </c>
      <c r="B181" s="246"/>
      <c r="C181" s="246" t="s">
        <v>734</v>
      </c>
      <c r="D181" s="246" t="s">
        <v>740</v>
      </c>
      <c r="E181" s="249" t="s">
        <v>1286</v>
      </c>
      <c r="F181" s="249">
        <v>8</v>
      </c>
      <c r="G181" s="246"/>
      <c r="H181" s="246">
        <v>8</v>
      </c>
      <c r="I181" s="246"/>
    </row>
    <row r="182" spans="1:25" ht="17.45" customHeight="1">
      <c r="A182" s="245">
        <v>20</v>
      </c>
      <c r="B182" s="247" t="s">
        <v>130</v>
      </c>
      <c r="C182" s="245">
        <v>8</v>
      </c>
      <c r="D182" s="247"/>
      <c r="E182" s="245"/>
      <c r="F182" s="245"/>
      <c r="G182" s="247"/>
      <c r="H182" s="247"/>
      <c r="I182" s="247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</row>
    <row r="183" spans="1:25" ht="17.45" customHeight="1">
      <c r="A183" s="249">
        <v>20.3</v>
      </c>
      <c r="B183" s="246"/>
      <c r="C183" s="246" t="s">
        <v>726</v>
      </c>
      <c r="D183" s="246" t="s">
        <v>785</v>
      </c>
      <c r="E183" s="249" t="s">
        <v>1246</v>
      </c>
      <c r="F183" s="249">
        <v>1</v>
      </c>
      <c r="G183" s="246"/>
      <c r="H183" s="246">
        <v>1</v>
      </c>
      <c r="I183" s="247"/>
      <c r="J183" s="248"/>
    </row>
    <row r="184" spans="1:25" ht="17.45" customHeight="1">
      <c r="A184" s="249">
        <v>20.6</v>
      </c>
      <c r="B184" s="246"/>
      <c r="C184" s="246" t="s">
        <v>796</v>
      </c>
      <c r="D184" s="246" t="s">
        <v>798</v>
      </c>
      <c r="E184" s="249" t="s">
        <v>533</v>
      </c>
      <c r="F184" s="249">
        <v>2</v>
      </c>
      <c r="G184" s="246"/>
      <c r="H184" s="246">
        <v>2</v>
      </c>
      <c r="I184" s="246"/>
    </row>
    <row r="185" spans="1:25" ht="17.45" customHeight="1">
      <c r="A185" s="249">
        <v>20.2</v>
      </c>
      <c r="B185" s="246"/>
      <c r="C185" s="246" t="s">
        <v>792</v>
      </c>
      <c r="D185" s="246" t="s">
        <v>494</v>
      </c>
      <c r="E185" s="249" t="s">
        <v>1246</v>
      </c>
      <c r="F185" s="249">
        <v>1</v>
      </c>
      <c r="G185" s="246"/>
      <c r="H185" s="246">
        <v>3</v>
      </c>
      <c r="I185" s="247"/>
      <c r="J185" s="248"/>
    </row>
    <row r="186" spans="1:25" ht="17.45" customHeight="1">
      <c r="A186" s="249">
        <v>20.5</v>
      </c>
      <c r="B186" s="246"/>
      <c r="C186" s="246" t="s">
        <v>776</v>
      </c>
      <c r="D186" s="246" t="s">
        <v>779</v>
      </c>
      <c r="E186" s="249" t="s">
        <v>583</v>
      </c>
      <c r="F186" s="249">
        <v>1</v>
      </c>
      <c r="G186" s="246"/>
      <c r="H186" s="246">
        <v>4</v>
      </c>
      <c r="I186" s="246"/>
    </row>
    <row r="187" spans="1:25" ht="17.45" customHeight="1">
      <c r="A187" s="249">
        <v>20.399999999999999</v>
      </c>
      <c r="B187" s="246"/>
      <c r="C187" s="246" t="s">
        <v>495</v>
      </c>
      <c r="D187" s="246" t="s">
        <v>789</v>
      </c>
      <c r="E187" s="255" t="s">
        <v>136</v>
      </c>
      <c r="F187" s="249">
        <v>1</v>
      </c>
      <c r="G187" s="246"/>
      <c r="H187" s="246">
        <v>5</v>
      </c>
      <c r="I187" s="246"/>
    </row>
    <row r="188" spans="1:25" ht="17.45" customHeight="1">
      <c r="A188" s="249">
        <v>20.7</v>
      </c>
      <c r="B188" s="246"/>
      <c r="C188" s="246" t="s">
        <v>423</v>
      </c>
      <c r="D188" s="246" t="s">
        <v>809</v>
      </c>
      <c r="E188" s="249" t="s">
        <v>601</v>
      </c>
      <c r="F188" s="249">
        <v>5</v>
      </c>
      <c r="G188" s="246"/>
      <c r="H188" s="246">
        <v>6</v>
      </c>
      <c r="I188" s="246"/>
    </row>
    <row r="189" spans="1:25" ht="17.45" customHeight="1">
      <c r="A189" s="249">
        <v>20.100000000000001</v>
      </c>
      <c r="B189" s="246"/>
      <c r="C189" s="246" t="s">
        <v>810</v>
      </c>
      <c r="D189" s="246" t="s">
        <v>769</v>
      </c>
      <c r="E189" s="249" t="s">
        <v>922</v>
      </c>
      <c r="F189" s="249">
        <v>1</v>
      </c>
      <c r="G189" s="246"/>
      <c r="H189" s="246">
        <v>7</v>
      </c>
      <c r="I189" s="247"/>
      <c r="J189" s="248"/>
    </row>
    <row r="190" spans="1:25" ht="17.45" customHeight="1">
      <c r="A190" s="249">
        <v>20.8</v>
      </c>
      <c r="B190" s="246"/>
      <c r="C190" s="246" t="s">
        <v>805</v>
      </c>
      <c r="D190" s="246" t="s">
        <v>800</v>
      </c>
      <c r="E190" s="249" t="s">
        <v>560</v>
      </c>
      <c r="F190" s="249">
        <v>6</v>
      </c>
      <c r="G190" s="246"/>
      <c r="H190" s="246">
        <v>8</v>
      </c>
      <c r="I190" s="246"/>
    </row>
    <row r="191" spans="1:25" ht="13.5" customHeight="1">
      <c r="A191" s="244"/>
      <c r="F191" s="243"/>
    </row>
    <row r="192" spans="1:25" ht="13.5" customHeight="1">
      <c r="A192" s="244"/>
      <c r="F192" s="243"/>
    </row>
    <row r="193" spans="1:6" ht="13.5" customHeight="1">
      <c r="A193" s="244"/>
      <c r="F193" s="243"/>
    </row>
    <row r="194" spans="1:6" ht="13.5" customHeight="1">
      <c r="A194" s="244"/>
      <c r="C194" s="257"/>
      <c r="D194" s="257"/>
      <c r="F194" s="243"/>
    </row>
    <row r="195" spans="1:6" ht="13.5" customHeight="1">
      <c r="A195" s="244"/>
      <c r="F195" s="243"/>
    </row>
    <row r="196" spans="1:6" ht="13.5" customHeight="1">
      <c r="A196" s="244"/>
      <c r="F196" s="243"/>
    </row>
    <row r="197" spans="1:6" ht="13.5" customHeight="1">
      <c r="A197" s="244"/>
      <c r="F197" s="243"/>
    </row>
    <row r="198" spans="1:6" ht="13.5" customHeight="1">
      <c r="A198" s="244"/>
      <c r="F198" s="243"/>
    </row>
    <row r="199" spans="1:6" ht="13.5" customHeight="1">
      <c r="A199" s="244"/>
      <c r="F199" s="243"/>
    </row>
    <row r="200" spans="1:6" ht="13.5" customHeight="1">
      <c r="A200" s="244"/>
      <c r="F200" s="243"/>
    </row>
    <row r="201" spans="1:6" ht="13.5" customHeight="1">
      <c r="A201" s="244"/>
      <c r="F201" s="243"/>
    </row>
    <row r="202" spans="1:6" ht="13.5" customHeight="1">
      <c r="A202" s="244"/>
      <c r="F202" s="243"/>
    </row>
    <row r="203" spans="1:6" ht="13.5" customHeight="1">
      <c r="A203" s="244"/>
      <c r="F203" s="243"/>
    </row>
    <row r="204" spans="1:6" ht="13.5" customHeight="1">
      <c r="A204" s="244"/>
      <c r="F204" s="243"/>
    </row>
    <row r="205" spans="1:6" ht="13.5" customHeight="1">
      <c r="A205" s="244"/>
      <c r="F205" s="243"/>
    </row>
    <row r="206" spans="1:6" ht="13.5" customHeight="1">
      <c r="A206" s="244"/>
      <c r="F206" s="243"/>
    </row>
    <row r="207" spans="1:6" ht="13.5" customHeight="1">
      <c r="A207" s="244"/>
      <c r="F207" s="243"/>
    </row>
    <row r="208" spans="1:6" ht="13.5" customHeight="1">
      <c r="A208" s="244"/>
      <c r="F208" s="243"/>
    </row>
    <row r="209" spans="1:6" ht="13.5" customHeight="1">
      <c r="A209" s="244"/>
      <c r="F209" s="243"/>
    </row>
    <row r="210" spans="1:6" ht="13.5" customHeight="1">
      <c r="A210" s="244"/>
      <c r="F210" s="243"/>
    </row>
    <row r="211" spans="1:6" ht="13.5" customHeight="1">
      <c r="A211" s="244"/>
      <c r="F211" s="243"/>
    </row>
    <row r="212" spans="1:6" ht="13.5" customHeight="1">
      <c r="A212" s="244"/>
      <c r="F212" s="243"/>
    </row>
    <row r="213" spans="1:6" ht="13.5" customHeight="1">
      <c r="A213" s="244"/>
      <c r="F213" s="243"/>
    </row>
    <row r="214" spans="1:6" ht="13.5" customHeight="1">
      <c r="A214" s="244"/>
      <c r="F214" s="243"/>
    </row>
    <row r="215" spans="1:6" ht="13.5" customHeight="1">
      <c r="A215" s="244"/>
      <c r="F215" s="243"/>
    </row>
    <row r="216" spans="1:6" ht="13.5" customHeight="1">
      <c r="A216" s="244"/>
      <c r="F216" s="243"/>
    </row>
    <row r="217" spans="1:6" ht="13.5" customHeight="1">
      <c r="A217" s="244"/>
      <c r="F217" s="243"/>
    </row>
    <row r="218" spans="1:6" ht="13.5" customHeight="1">
      <c r="A218" s="244"/>
      <c r="F218" s="243"/>
    </row>
    <row r="219" spans="1:6" ht="13.5" customHeight="1">
      <c r="A219" s="244"/>
      <c r="F219" s="243"/>
    </row>
    <row r="220" spans="1:6" ht="13.5" customHeight="1">
      <c r="A220" s="244"/>
      <c r="F220" s="243"/>
    </row>
    <row r="221" spans="1:6" ht="13.5" customHeight="1">
      <c r="A221" s="244"/>
      <c r="F221" s="243"/>
    </row>
    <row r="222" spans="1:6" ht="13.5" customHeight="1">
      <c r="A222" s="244"/>
      <c r="F222" s="243"/>
    </row>
    <row r="223" spans="1:6" ht="13.5" customHeight="1">
      <c r="A223" s="244"/>
      <c r="F223" s="243"/>
    </row>
    <row r="224" spans="1:6" ht="13.5" customHeight="1">
      <c r="A224" s="244"/>
      <c r="F224" s="243"/>
    </row>
    <row r="225" spans="1:6" ht="13.5" customHeight="1">
      <c r="A225" s="244"/>
      <c r="F225" s="243"/>
    </row>
    <row r="226" spans="1:6" ht="13.5" customHeight="1">
      <c r="A226" s="244"/>
      <c r="F226" s="243"/>
    </row>
    <row r="227" spans="1:6" ht="13.5" customHeight="1">
      <c r="A227" s="244"/>
      <c r="F227" s="243"/>
    </row>
    <row r="228" spans="1:6" ht="13.5" customHeight="1">
      <c r="A228" s="244"/>
      <c r="F228" s="243"/>
    </row>
    <row r="229" spans="1:6" ht="13.5" customHeight="1">
      <c r="A229" s="244"/>
      <c r="F229" s="243"/>
    </row>
    <row r="230" spans="1:6" ht="13.5" customHeight="1">
      <c r="A230" s="244"/>
      <c r="F230" s="243"/>
    </row>
    <row r="231" spans="1:6" ht="13.5" customHeight="1">
      <c r="A231" s="244"/>
      <c r="F231" s="243"/>
    </row>
    <row r="232" spans="1:6" ht="13.5" customHeight="1">
      <c r="A232" s="244"/>
      <c r="F232" s="243"/>
    </row>
    <row r="233" spans="1:6" ht="13.5" customHeight="1">
      <c r="A233" s="244"/>
      <c r="F233" s="243"/>
    </row>
    <row r="234" spans="1:6" ht="13.5" customHeight="1">
      <c r="A234" s="244"/>
      <c r="F234" s="243"/>
    </row>
    <row r="235" spans="1:6" ht="13.5" customHeight="1">
      <c r="A235" s="244"/>
      <c r="F235" s="243"/>
    </row>
    <row r="236" spans="1:6" ht="13.5" customHeight="1">
      <c r="A236" s="244"/>
      <c r="F236" s="243"/>
    </row>
    <row r="237" spans="1:6" ht="13.5" customHeight="1">
      <c r="A237" s="244"/>
      <c r="F237" s="243"/>
    </row>
    <row r="238" spans="1:6" ht="13.5" customHeight="1">
      <c r="A238" s="244"/>
      <c r="F238" s="243"/>
    </row>
    <row r="239" spans="1:6" ht="13.5" customHeight="1">
      <c r="A239" s="244"/>
      <c r="F239" s="243"/>
    </row>
    <row r="240" spans="1:6" ht="13.5" customHeight="1">
      <c r="A240" s="244"/>
      <c r="F240" s="243"/>
    </row>
    <row r="241" spans="1:6" ht="13.5" customHeight="1">
      <c r="A241" s="244"/>
      <c r="F241" s="243"/>
    </row>
    <row r="242" spans="1:6" ht="13.5" customHeight="1">
      <c r="A242" s="244"/>
      <c r="F242" s="243"/>
    </row>
    <row r="243" spans="1:6" ht="13.5" customHeight="1">
      <c r="A243" s="244"/>
      <c r="F243" s="243"/>
    </row>
    <row r="244" spans="1:6" ht="13.5" customHeight="1">
      <c r="A244" s="244"/>
      <c r="F244" s="243"/>
    </row>
    <row r="245" spans="1:6" ht="13.5" customHeight="1">
      <c r="A245" s="244"/>
      <c r="F245" s="243"/>
    </row>
    <row r="246" spans="1:6" ht="13.5" customHeight="1">
      <c r="A246" s="244"/>
      <c r="F246" s="243"/>
    </row>
    <row r="247" spans="1:6" ht="13.5" customHeight="1">
      <c r="A247" s="244"/>
      <c r="F247" s="243"/>
    </row>
    <row r="248" spans="1:6" ht="13.5" customHeight="1">
      <c r="A248" s="244"/>
      <c r="F248" s="243"/>
    </row>
    <row r="249" spans="1:6" ht="13.5" customHeight="1">
      <c r="A249" s="244"/>
      <c r="F249" s="243"/>
    </row>
    <row r="250" spans="1:6" ht="13.5" customHeight="1">
      <c r="A250" s="244"/>
      <c r="F250" s="243"/>
    </row>
    <row r="251" spans="1:6" ht="13.5" customHeight="1">
      <c r="A251" s="244"/>
      <c r="F251" s="243"/>
    </row>
    <row r="252" spans="1:6" ht="13.5" customHeight="1">
      <c r="A252" s="244"/>
      <c r="F252" s="243"/>
    </row>
    <row r="253" spans="1:6" ht="13.5" customHeight="1">
      <c r="A253" s="244"/>
      <c r="F253" s="243"/>
    </row>
    <row r="254" spans="1:6" ht="13.5" customHeight="1">
      <c r="A254" s="244"/>
      <c r="F254" s="243"/>
    </row>
    <row r="255" spans="1:6" ht="13.5" customHeight="1">
      <c r="A255" s="244"/>
      <c r="F255" s="243"/>
    </row>
    <row r="256" spans="1:6" ht="13.5" customHeight="1">
      <c r="A256" s="244"/>
      <c r="F256" s="243"/>
    </row>
    <row r="257" spans="1:6" ht="13.5" customHeight="1">
      <c r="A257" s="244"/>
      <c r="F257" s="243"/>
    </row>
    <row r="258" spans="1:6" ht="13.5" customHeight="1">
      <c r="A258" s="244"/>
      <c r="F258" s="243"/>
    </row>
    <row r="259" spans="1:6" ht="13.5" customHeight="1">
      <c r="A259" s="244"/>
      <c r="F259" s="243"/>
    </row>
    <row r="260" spans="1:6" ht="13.5" customHeight="1">
      <c r="A260" s="244"/>
      <c r="F260" s="243"/>
    </row>
    <row r="261" spans="1:6" ht="13.5" customHeight="1">
      <c r="A261" s="244"/>
      <c r="F261" s="243"/>
    </row>
    <row r="262" spans="1:6" ht="13.5" customHeight="1">
      <c r="A262" s="244"/>
      <c r="F262" s="243"/>
    </row>
    <row r="263" spans="1:6" ht="13.5" customHeight="1">
      <c r="A263" s="244"/>
      <c r="F263" s="243"/>
    </row>
    <row r="264" spans="1:6" ht="13.5" customHeight="1">
      <c r="A264" s="244"/>
      <c r="F264" s="243"/>
    </row>
    <row r="265" spans="1:6" ht="13.5" customHeight="1">
      <c r="A265" s="244"/>
      <c r="F265" s="243"/>
    </row>
    <row r="266" spans="1:6" ht="13.5" customHeight="1">
      <c r="A266" s="244"/>
      <c r="F266" s="243"/>
    </row>
    <row r="267" spans="1:6" ht="13.5" customHeight="1">
      <c r="A267" s="244"/>
      <c r="F267" s="243"/>
    </row>
    <row r="268" spans="1:6" ht="13.5" customHeight="1">
      <c r="A268" s="244"/>
      <c r="F268" s="243"/>
    </row>
    <row r="269" spans="1:6" ht="13.5" customHeight="1">
      <c r="A269" s="244"/>
      <c r="F269" s="243"/>
    </row>
    <row r="270" spans="1:6" ht="13.5" customHeight="1">
      <c r="A270" s="244"/>
      <c r="F270" s="243"/>
    </row>
    <row r="271" spans="1:6" ht="13.5" customHeight="1">
      <c r="A271" s="244"/>
      <c r="F271" s="243"/>
    </row>
    <row r="272" spans="1:6" ht="13.5" customHeight="1">
      <c r="A272" s="244"/>
      <c r="F272" s="243"/>
    </row>
    <row r="273" spans="1:6" ht="13.5" customHeight="1">
      <c r="A273" s="244"/>
      <c r="F273" s="243"/>
    </row>
    <row r="274" spans="1:6" ht="13.5" customHeight="1">
      <c r="A274" s="244"/>
      <c r="F274" s="243"/>
    </row>
    <row r="275" spans="1:6" ht="13.5" customHeight="1">
      <c r="A275" s="244"/>
      <c r="F275" s="243"/>
    </row>
    <row r="276" spans="1:6" ht="13.5" customHeight="1">
      <c r="A276" s="244"/>
      <c r="F276" s="243"/>
    </row>
    <row r="277" spans="1:6" ht="13.5" customHeight="1">
      <c r="A277" s="244"/>
      <c r="F277" s="243"/>
    </row>
    <row r="278" spans="1:6" ht="13.5" customHeight="1">
      <c r="A278" s="244"/>
      <c r="F278" s="243"/>
    </row>
    <row r="279" spans="1:6" ht="13.5" customHeight="1">
      <c r="A279" s="244"/>
      <c r="F279" s="243"/>
    </row>
    <row r="280" spans="1:6" ht="13.5" customHeight="1">
      <c r="A280" s="244"/>
      <c r="F280" s="243"/>
    </row>
    <row r="281" spans="1:6" ht="13.5" customHeight="1">
      <c r="A281" s="244"/>
      <c r="F281" s="243"/>
    </row>
    <row r="282" spans="1:6" ht="13.5" customHeight="1">
      <c r="A282" s="244"/>
      <c r="F282" s="243"/>
    </row>
    <row r="283" spans="1:6" ht="13.5" customHeight="1">
      <c r="A283" s="244"/>
      <c r="F283" s="243"/>
    </row>
    <row r="284" spans="1:6" ht="13.5" customHeight="1">
      <c r="A284" s="244"/>
      <c r="F284" s="243"/>
    </row>
    <row r="285" spans="1:6" ht="13.5" customHeight="1">
      <c r="A285" s="244"/>
      <c r="F285" s="243"/>
    </row>
    <row r="286" spans="1:6" ht="13.5" customHeight="1">
      <c r="A286" s="244"/>
      <c r="F286" s="243"/>
    </row>
    <row r="287" spans="1:6" ht="13.5" customHeight="1">
      <c r="A287" s="244"/>
      <c r="F287" s="243"/>
    </row>
    <row r="288" spans="1:6" ht="13.5" customHeight="1">
      <c r="A288" s="244"/>
      <c r="F288" s="243"/>
    </row>
    <row r="289" spans="1:6" ht="13.5" customHeight="1">
      <c r="A289" s="244"/>
      <c r="F289" s="243"/>
    </row>
    <row r="290" spans="1:6" ht="13.5" customHeight="1">
      <c r="A290" s="244"/>
      <c r="F290" s="243"/>
    </row>
    <row r="291" spans="1:6" ht="13.5" customHeight="1">
      <c r="A291" s="244"/>
      <c r="F291" s="243"/>
    </row>
    <row r="292" spans="1:6" ht="13.5" customHeight="1">
      <c r="A292" s="244"/>
      <c r="F292" s="243"/>
    </row>
    <row r="293" spans="1:6" ht="13.5" customHeight="1">
      <c r="A293" s="244"/>
      <c r="F293" s="243"/>
    </row>
    <row r="294" spans="1:6" ht="13.5" customHeight="1">
      <c r="A294" s="244"/>
      <c r="F294" s="243"/>
    </row>
    <row r="295" spans="1:6" ht="13.5" customHeight="1">
      <c r="A295" s="244"/>
      <c r="F295" s="243"/>
    </row>
    <row r="296" spans="1:6" ht="13.5" customHeight="1">
      <c r="A296" s="244"/>
      <c r="F296" s="243"/>
    </row>
    <row r="297" spans="1:6" ht="13.5" customHeight="1">
      <c r="A297" s="244"/>
      <c r="F297" s="243"/>
    </row>
    <row r="298" spans="1:6" ht="13.5" customHeight="1">
      <c r="A298" s="244"/>
      <c r="F298" s="243"/>
    </row>
    <row r="299" spans="1:6" ht="13.5" customHeight="1">
      <c r="A299" s="244"/>
      <c r="F299" s="243"/>
    </row>
    <row r="300" spans="1:6" ht="13.5" customHeight="1">
      <c r="A300" s="244"/>
      <c r="F300" s="243"/>
    </row>
    <row r="301" spans="1:6" ht="13.5" customHeight="1">
      <c r="A301" s="244"/>
      <c r="F301" s="243"/>
    </row>
    <row r="302" spans="1:6" ht="13.5" customHeight="1">
      <c r="A302" s="244"/>
      <c r="F302" s="243"/>
    </row>
    <row r="303" spans="1:6" ht="13.5" customHeight="1">
      <c r="A303" s="244"/>
      <c r="F303" s="243"/>
    </row>
    <row r="304" spans="1:6" ht="13.5" customHeight="1">
      <c r="A304" s="244"/>
      <c r="F304" s="243"/>
    </row>
    <row r="305" spans="1:6" ht="13.5" customHeight="1">
      <c r="A305" s="244"/>
      <c r="F305" s="243"/>
    </row>
    <row r="306" spans="1:6" ht="13.5" customHeight="1">
      <c r="A306" s="244"/>
      <c r="F306" s="243"/>
    </row>
    <row r="307" spans="1:6" ht="13.5" customHeight="1">
      <c r="A307" s="244"/>
      <c r="F307" s="243"/>
    </row>
    <row r="308" spans="1:6" ht="13.5" customHeight="1">
      <c r="A308" s="244"/>
      <c r="F308" s="243"/>
    </row>
    <row r="309" spans="1:6" ht="13.5" customHeight="1">
      <c r="A309" s="244"/>
      <c r="F309" s="243"/>
    </row>
    <row r="310" spans="1:6" ht="13.5" customHeight="1">
      <c r="A310" s="244"/>
      <c r="F310" s="243"/>
    </row>
    <row r="311" spans="1:6" ht="13.5" customHeight="1">
      <c r="A311" s="244"/>
      <c r="F311" s="243"/>
    </row>
    <row r="312" spans="1:6" ht="13.5" customHeight="1">
      <c r="A312" s="244"/>
      <c r="F312" s="243"/>
    </row>
    <row r="313" spans="1:6" ht="13.5" customHeight="1">
      <c r="A313" s="244"/>
      <c r="F313" s="243"/>
    </row>
    <row r="314" spans="1:6" ht="13.5" customHeight="1">
      <c r="A314" s="244"/>
      <c r="F314" s="243"/>
    </row>
    <row r="315" spans="1:6" ht="13.5" customHeight="1">
      <c r="A315" s="244"/>
      <c r="F315" s="243"/>
    </row>
    <row r="316" spans="1:6" ht="13.5" customHeight="1">
      <c r="A316" s="244"/>
      <c r="F316" s="243"/>
    </row>
    <row r="317" spans="1:6" ht="13.5" customHeight="1">
      <c r="A317" s="244"/>
      <c r="F317" s="243"/>
    </row>
    <row r="318" spans="1:6" ht="13.5" customHeight="1">
      <c r="A318" s="244"/>
      <c r="F318" s="243"/>
    </row>
    <row r="319" spans="1:6" ht="13.5" customHeight="1">
      <c r="A319" s="244"/>
      <c r="F319" s="243"/>
    </row>
    <row r="320" spans="1:6" ht="13.5" customHeight="1">
      <c r="A320" s="244"/>
      <c r="F320" s="243"/>
    </row>
    <row r="321" spans="1:6" ht="13.5" customHeight="1">
      <c r="A321" s="244"/>
      <c r="F321" s="243"/>
    </row>
    <row r="322" spans="1:6" ht="13.5" customHeight="1">
      <c r="A322" s="244"/>
      <c r="F322" s="243"/>
    </row>
    <row r="323" spans="1:6" ht="13.5" customHeight="1">
      <c r="A323" s="244"/>
      <c r="F323" s="243"/>
    </row>
    <row r="324" spans="1:6" ht="13.5" customHeight="1">
      <c r="A324" s="244"/>
      <c r="F324" s="243"/>
    </row>
    <row r="325" spans="1:6" ht="13.5" customHeight="1">
      <c r="A325" s="244"/>
      <c r="F325" s="243"/>
    </row>
    <row r="326" spans="1:6" ht="13.5" customHeight="1">
      <c r="A326" s="244"/>
      <c r="F326" s="243"/>
    </row>
    <row r="327" spans="1:6" ht="13.5" customHeight="1">
      <c r="A327" s="244"/>
      <c r="F327" s="243"/>
    </row>
    <row r="328" spans="1:6" ht="13.5" customHeight="1">
      <c r="A328" s="244"/>
      <c r="F328" s="243"/>
    </row>
    <row r="329" spans="1:6" ht="13.5" customHeight="1">
      <c r="A329" s="244"/>
      <c r="F329" s="243"/>
    </row>
    <row r="330" spans="1:6" ht="13.5" customHeight="1">
      <c r="A330" s="244"/>
      <c r="F330" s="243"/>
    </row>
    <row r="331" spans="1:6" ht="13.5" customHeight="1">
      <c r="A331" s="244"/>
      <c r="F331" s="243"/>
    </row>
    <row r="332" spans="1:6" ht="13.5" customHeight="1">
      <c r="A332" s="244"/>
      <c r="F332" s="243"/>
    </row>
    <row r="333" spans="1:6" ht="13.5" customHeight="1">
      <c r="A333" s="244"/>
      <c r="F333" s="243"/>
    </row>
    <row r="334" spans="1:6" ht="13.5" customHeight="1">
      <c r="A334" s="244"/>
      <c r="F334" s="243"/>
    </row>
    <row r="335" spans="1:6" ht="13.5" customHeight="1">
      <c r="A335" s="244"/>
      <c r="F335" s="243"/>
    </row>
    <row r="336" spans="1:6" ht="13.5" customHeight="1">
      <c r="A336" s="244"/>
      <c r="F336" s="243"/>
    </row>
    <row r="337" spans="1:6" ht="13.5" customHeight="1">
      <c r="A337" s="244"/>
      <c r="F337" s="243"/>
    </row>
    <row r="338" spans="1:6" ht="13.5" customHeight="1">
      <c r="A338" s="244"/>
      <c r="F338" s="243"/>
    </row>
    <row r="339" spans="1:6" ht="13.5" customHeight="1">
      <c r="A339" s="244"/>
      <c r="F339" s="243"/>
    </row>
    <row r="340" spans="1:6" ht="13.5" customHeight="1">
      <c r="A340" s="244"/>
      <c r="F340" s="243"/>
    </row>
    <row r="341" spans="1:6" ht="13.5" customHeight="1">
      <c r="A341" s="244"/>
      <c r="F341" s="243"/>
    </row>
    <row r="342" spans="1:6" ht="13.5" customHeight="1">
      <c r="A342" s="244"/>
      <c r="F342" s="243"/>
    </row>
    <row r="343" spans="1:6" ht="13.5" customHeight="1">
      <c r="A343" s="244"/>
      <c r="F343" s="243"/>
    </row>
    <row r="344" spans="1:6" ht="13.5" customHeight="1">
      <c r="A344" s="244"/>
      <c r="F344" s="243"/>
    </row>
    <row r="345" spans="1:6" ht="13.5" customHeight="1">
      <c r="A345" s="244"/>
      <c r="F345" s="243"/>
    </row>
    <row r="346" spans="1:6" ht="13.5" customHeight="1">
      <c r="A346" s="244"/>
      <c r="F346" s="243"/>
    </row>
    <row r="347" spans="1:6" ht="13.5" customHeight="1">
      <c r="A347" s="244"/>
      <c r="F347" s="243"/>
    </row>
    <row r="348" spans="1:6" ht="13.5" customHeight="1">
      <c r="A348" s="244"/>
      <c r="F348" s="243"/>
    </row>
    <row r="349" spans="1:6" ht="13.5" customHeight="1">
      <c r="A349" s="244"/>
      <c r="F349" s="243"/>
    </row>
    <row r="350" spans="1:6" ht="13.5" customHeight="1">
      <c r="A350" s="244"/>
      <c r="F350" s="243"/>
    </row>
    <row r="351" spans="1:6" ht="13.5" customHeight="1">
      <c r="A351" s="244"/>
      <c r="F351" s="243"/>
    </row>
    <row r="352" spans="1:6" ht="13.5" customHeight="1">
      <c r="A352" s="244"/>
      <c r="F352" s="243"/>
    </row>
    <row r="353" spans="1:6" ht="13.5" customHeight="1">
      <c r="A353" s="244"/>
      <c r="F353" s="243"/>
    </row>
    <row r="354" spans="1:6" ht="13.5" customHeight="1">
      <c r="A354" s="244"/>
      <c r="F354" s="243"/>
    </row>
    <row r="355" spans="1:6" ht="13.5" customHeight="1">
      <c r="A355" s="244"/>
      <c r="F355" s="243"/>
    </row>
    <row r="356" spans="1:6" ht="13.5" customHeight="1">
      <c r="A356" s="244"/>
      <c r="F356" s="243"/>
    </row>
    <row r="357" spans="1:6" ht="13.5" customHeight="1">
      <c r="A357" s="244"/>
      <c r="F357" s="243"/>
    </row>
    <row r="358" spans="1:6" ht="13.5" customHeight="1">
      <c r="A358" s="244"/>
      <c r="F358" s="243"/>
    </row>
    <row r="359" spans="1:6" ht="13.5" customHeight="1">
      <c r="A359" s="244"/>
      <c r="F359" s="243"/>
    </row>
    <row r="360" spans="1:6" ht="13.5" customHeight="1">
      <c r="A360" s="244"/>
      <c r="F360" s="243"/>
    </row>
    <row r="361" spans="1:6" ht="13.5" customHeight="1">
      <c r="A361" s="244"/>
      <c r="F361" s="243"/>
    </row>
    <row r="362" spans="1:6" ht="13.5" customHeight="1">
      <c r="A362" s="244"/>
      <c r="F362" s="243"/>
    </row>
    <row r="363" spans="1:6" ht="13.5" customHeight="1">
      <c r="A363" s="244"/>
      <c r="F363" s="243"/>
    </row>
    <row r="364" spans="1:6" ht="13.5" customHeight="1">
      <c r="A364" s="244"/>
      <c r="F364" s="243"/>
    </row>
    <row r="365" spans="1:6" ht="13.5" customHeight="1">
      <c r="A365" s="244"/>
      <c r="F365" s="243"/>
    </row>
    <row r="366" spans="1:6" ht="13.5" customHeight="1">
      <c r="A366" s="244"/>
      <c r="F366" s="243"/>
    </row>
    <row r="367" spans="1:6" ht="13.5" customHeight="1">
      <c r="A367" s="244"/>
      <c r="F367" s="243"/>
    </row>
    <row r="368" spans="1:6" ht="13.5" customHeight="1">
      <c r="A368" s="244"/>
      <c r="F368" s="243"/>
    </row>
    <row r="369" spans="1:6" ht="13.5" customHeight="1">
      <c r="A369" s="244"/>
      <c r="F369" s="243"/>
    </row>
    <row r="370" spans="1:6" ht="13.5" customHeight="1">
      <c r="A370" s="244"/>
      <c r="F370" s="243"/>
    </row>
    <row r="371" spans="1:6" ht="13.5" customHeight="1">
      <c r="A371" s="244"/>
      <c r="F371" s="243"/>
    </row>
    <row r="372" spans="1:6" ht="13.5" customHeight="1">
      <c r="A372" s="244"/>
      <c r="F372" s="243"/>
    </row>
    <row r="373" spans="1:6" ht="13.5" customHeight="1">
      <c r="A373" s="244"/>
      <c r="F373" s="243"/>
    </row>
    <row r="374" spans="1:6" ht="13.5" customHeight="1">
      <c r="A374" s="244"/>
      <c r="F374" s="243"/>
    </row>
    <row r="375" spans="1:6" ht="13.5" customHeight="1">
      <c r="A375" s="244"/>
      <c r="F375" s="243"/>
    </row>
    <row r="376" spans="1:6" ht="13.5" customHeight="1">
      <c r="A376" s="244"/>
      <c r="F376" s="243"/>
    </row>
    <row r="377" spans="1:6" ht="13.5" customHeight="1">
      <c r="A377" s="244"/>
      <c r="F377" s="243"/>
    </row>
    <row r="378" spans="1:6" ht="13.5" customHeight="1">
      <c r="A378" s="244"/>
      <c r="F378" s="243"/>
    </row>
    <row r="379" spans="1:6" ht="13.5" customHeight="1">
      <c r="A379" s="244"/>
      <c r="F379" s="243"/>
    </row>
    <row r="380" spans="1:6" ht="13.5" customHeight="1">
      <c r="A380" s="244"/>
      <c r="F380" s="243"/>
    </row>
    <row r="381" spans="1:6" ht="13.5" customHeight="1">
      <c r="A381" s="244"/>
      <c r="F381" s="243"/>
    </row>
    <row r="382" spans="1:6" ht="13.5" customHeight="1">
      <c r="A382" s="244"/>
      <c r="F382" s="243"/>
    </row>
    <row r="383" spans="1:6" ht="13.5" customHeight="1">
      <c r="A383" s="244"/>
      <c r="F383" s="243"/>
    </row>
    <row r="384" spans="1:6" ht="13.5" customHeight="1">
      <c r="A384" s="244"/>
      <c r="F384" s="243"/>
    </row>
    <row r="385" spans="1:6" ht="13.5" customHeight="1">
      <c r="A385" s="244"/>
      <c r="F385" s="243"/>
    </row>
    <row r="386" spans="1:6" ht="13.5" customHeight="1">
      <c r="A386" s="244"/>
      <c r="F386" s="243"/>
    </row>
    <row r="387" spans="1:6" ht="13.5" customHeight="1">
      <c r="A387" s="244"/>
      <c r="F387" s="243"/>
    </row>
    <row r="388" spans="1:6" ht="13.5" customHeight="1">
      <c r="A388" s="244"/>
      <c r="F388" s="243"/>
    </row>
    <row r="389" spans="1:6" ht="13.5" customHeight="1">
      <c r="A389" s="244"/>
      <c r="F389" s="243"/>
    </row>
    <row r="390" spans="1:6" ht="13.5" customHeight="1">
      <c r="A390" s="244"/>
      <c r="F390" s="243"/>
    </row>
    <row r="391" spans="1:6" ht="13.5" customHeight="1">
      <c r="A391" s="244"/>
      <c r="F391" s="243"/>
    </row>
    <row r="392" spans="1:6" ht="13.5" customHeight="1">
      <c r="A392" s="244"/>
      <c r="F392" s="243"/>
    </row>
    <row r="393" spans="1:6" ht="13.5" customHeight="1">
      <c r="A393" s="244"/>
      <c r="F393" s="243"/>
    </row>
    <row r="394" spans="1:6" ht="13.5" customHeight="1">
      <c r="A394" s="244"/>
      <c r="F394" s="243"/>
    </row>
    <row r="395" spans="1:6" ht="13.5" customHeight="1">
      <c r="A395" s="244"/>
      <c r="F395" s="243"/>
    </row>
    <row r="396" spans="1:6" ht="13.5" customHeight="1">
      <c r="A396" s="244"/>
      <c r="F396" s="243"/>
    </row>
    <row r="397" spans="1:6" ht="13.5" customHeight="1">
      <c r="A397" s="244"/>
      <c r="F397" s="243"/>
    </row>
    <row r="398" spans="1:6" ht="13.5" customHeight="1">
      <c r="A398" s="244"/>
      <c r="F398" s="243"/>
    </row>
    <row r="399" spans="1:6" ht="13.5" customHeight="1">
      <c r="A399" s="244"/>
      <c r="F399" s="243"/>
    </row>
    <row r="400" spans="1:6" ht="13.5" customHeight="1">
      <c r="A400" s="244"/>
      <c r="F400" s="243"/>
    </row>
    <row r="401" spans="1:6" ht="13.5" customHeight="1">
      <c r="A401" s="244"/>
      <c r="F401" s="243"/>
    </row>
    <row r="402" spans="1:6" ht="13.5" customHeight="1">
      <c r="A402" s="244"/>
      <c r="F402" s="243"/>
    </row>
    <row r="403" spans="1:6" ht="13.5" customHeight="1">
      <c r="A403" s="244"/>
      <c r="F403" s="243"/>
    </row>
    <row r="404" spans="1:6" ht="13.5" customHeight="1">
      <c r="A404" s="244"/>
      <c r="F404" s="243"/>
    </row>
    <row r="405" spans="1:6" ht="13.5" customHeight="1">
      <c r="A405" s="244"/>
      <c r="F405" s="243"/>
    </row>
    <row r="406" spans="1:6" ht="13.5" customHeight="1">
      <c r="A406" s="244"/>
      <c r="F406" s="243"/>
    </row>
    <row r="407" spans="1:6" ht="13.5" customHeight="1">
      <c r="A407" s="244"/>
      <c r="F407" s="243"/>
    </row>
    <row r="408" spans="1:6" ht="13.5" customHeight="1">
      <c r="A408" s="244"/>
      <c r="F408" s="243"/>
    </row>
    <row r="409" spans="1:6" ht="13.5" customHeight="1">
      <c r="A409" s="244"/>
      <c r="F409" s="243"/>
    </row>
    <row r="410" spans="1:6" ht="13.5" customHeight="1">
      <c r="A410" s="244"/>
      <c r="F410" s="243"/>
    </row>
    <row r="411" spans="1:6" ht="13.5" customHeight="1">
      <c r="A411" s="244"/>
      <c r="F411" s="243"/>
    </row>
    <row r="412" spans="1:6" ht="13.5" customHeight="1">
      <c r="A412" s="244"/>
      <c r="F412" s="243"/>
    </row>
    <row r="413" spans="1:6" ht="13.5" customHeight="1">
      <c r="A413" s="244"/>
      <c r="F413" s="243"/>
    </row>
    <row r="414" spans="1:6" ht="13.5" customHeight="1">
      <c r="A414" s="244"/>
      <c r="F414" s="243"/>
    </row>
    <row r="415" spans="1:6" ht="13.5" customHeight="1">
      <c r="A415" s="244"/>
      <c r="F415" s="243"/>
    </row>
    <row r="416" spans="1:6" ht="13.5" customHeight="1">
      <c r="A416" s="244"/>
      <c r="F416" s="243"/>
    </row>
    <row r="417" spans="1:6" ht="13.5" customHeight="1">
      <c r="A417" s="244"/>
      <c r="F417" s="243"/>
    </row>
    <row r="418" spans="1:6" ht="13.5" customHeight="1">
      <c r="A418" s="244"/>
      <c r="F418" s="243"/>
    </row>
    <row r="419" spans="1:6" ht="13.5" customHeight="1">
      <c r="A419" s="244"/>
      <c r="F419" s="243"/>
    </row>
    <row r="420" spans="1:6" ht="13.5" customHeight="1">
      <c r="A420" s="244"/>
      <c r="F420" s="243"/>
    </row>
    <row r="421" spans="1:6" ht="13.5" customHeight="1">
      <c r="A421" s="244"/>
      <c r="F421" s="243"/>
    </row>
    <row r="422" spans="1:6" ht="13.5" customHeight="1">
      <c r="A422" s="244"/>
      <c r="F422" s="243"/>
    </row>
    <row r="423" spans="1:6" ht="13.5" customHeight="1">
      <c r="A423" s="244"/>
      <c r="F423" s="243"/>
    </row>
    <row r="424" spans="1:6" ht="13.5" customHeight="1">
      <c r="A424" s="244"/>
      <c r="F424" s="243"/>
    </row>
    <row r="425" spans="1:6" ht="13.5" customHeight="1">
      <c r="A425" s="244"/>
      <c r="F425" s="243"/>
    </row>
    <row r="426" spans="1:6" ht="13.5" customHeight="1">
      <c r="A426" s="244"/>
      <c r="F426" s="243"/>
    </row>
    <row r="427" spans="1:6" ht="13.5" customHeight="1">
      <c r="A427" s="244"/>
      <c r="F427" s="243"/>
    </row>
    <row r="428" spans="1:6" ht="13.5" customHeight="1">
      <c r="A428" s="244"/>
      <c r="F428" s="243"/>
    </row>
    <row r="429" spans="1:6" ht="13.5" customHeight="1">
      <c r="A429" s="244"/>
      <c r="F429" s="243"/>
    </row>
    <row r="430" spans="1:6" ht="13.5" customHeight="1">
      <c r="A430" s="244"/>
      <c r="F430" s="243"/>
    </row>
    <row r="431" spans="1:6" ht="13.5" customHeight="1">
      <c r="A431" s="244"/>
      <c r="F431" s="243"/>
    </row>
    <row r="432" spans="1:6" ht="13.5" customHeight="1">
      <c r="A432" s="244"/>
      <c r="F432" s="243"/>
    </row>
    <row r="433" spans="1:6" ht="13.5" customHeight="1">
      <c r="A433" s="244"/>
      <c r="F433" s="243"/>
    </row>
    <row r="434" spans="1:6" ht="13.5" customHeight="1">
      <c r="A434" s="244"/>
      <c r="F434" s="243"/>
    </row>
    <row r="435" spans="1:6" ht="13.5" customHeight="1">
      <c r="A435" s="244"/>
      <c r="F435" s="243"/>
    </row>
    <row r="436" spans="1:6" ht="13.5" customHeight="1">
      <c r="A436" s="244"/>
      <c r="F436" s="243"/>
    </row>
    <row r="437" spans="1:6" ht="13.5" customHeight="1">
      <c r="A437" s="244"/>
      <c r="F437" s="243"/>
    </row>
    <row r="438" spans="1:6" ht="13.5" customHeight="1">
      <c r="A438" s="244"/>
      <c r="F438" s="243"/>
    </row>
    <row r="439" spans="1:6" ht="13.5" customHeight="1">
      <c r="A439" s="244"/>
      <c r="F439" s="243"/>
    </row>
    <row r="440" spans="1:6" ht="13.5" customHeight="1">
      <c r="A440" s="244"/>
      <c r="F440" s="243"/>
    </row>
    <row r="441" spans="1:6" ht="13.5" customHeight="1">
      <c r="A441" s="244"/>
      <c r="F441" s="243"/>
    </row>
    <row r="442" spans="1:6" ht="13.5" customHeight="1">
      <c r="A442" s="244"/>
      <c r="F442" s="243"/>
    </row>
    <row r="443" spans="1:6" ht="13.5" customHeight="1">
      <c r="A443" s="244"/>
      <c r="F443" s="243"/>
    </row>
    <row r="444" spans="1:6" ht="13.5" customHeight="1">
      <c r="A444" s="244"/>
      <c r="F444" s="243"/>
    </row>
    <row r="445" spans="1:6" ht="13.5" customHeight="1">
      <c r="A445" s="244"/>
      <c r="F445" s="243"/>
    </row>
    <row r="446" spans="1:6" ht="13.5" customHeight="1">
      <c r="A446" s="244"/>
      <c r="F446" s="243"/>
    </row>
    <row r="447" spans="1:6" ht="13.5" customHeight="1">
      <c r="A447" s="244"/>
      <c r="F447" s="243"/>
    </row>
    <row r="448" spans="1:6" ht="13.5" customHeight="1">
      <c r="A448" s="244"/>
      <c r="F448" s="243"/>
    </row>
    <row r="449" spans="1:6" ht="13.5" customHeight="1">
      <c r="A449" s="244"/>
      <c r="F449" s="243"/>
    </row>
    <row r="450" spans="1:6" ht="13.5" customHeight="1">
      <c r="A450" s="244"/>
      <c r="F450" s="243"/>
    </row>
    <row r="451" spans="1:6" ht="13.5" customHeight="1">
      <c r="A451" s="244"/>
      <c r="F451" s="243"/>
    </row>
    <row r="452" spans="1:6" ht="13.5" customHeight="1">
      <c r="A452" s="244"/>
      <c r="F452" s="243"/>
    </row>
    <row r="453" spans="1:6" ht="13.5" customHeight="1">
      <c r="A453" s="244"/>
      <c r="F453" s="243"/>
    </row>
    <row r="454" spans="1:6" ht="13.5" customHeight="1">
      <c r="A454" s="244"/>
      <c r="F454" s="243"/>
    </row>
    <row r="455" spans="1:6" ht="13.5" customHeight="1">
      <c r="A455" s="244"/>
      <c r="F455" s="243"/>
    </row>
    <row r="456" spans="1:6" ht="13.5" customHeight="1">
      <c r="A456" s="244"/>
      <c r="F456" s="243"/>
    </row>
    <row r="457" spans="1:6" ht="13.5" customHeight="1">
      <c r="A457" s="244"/>
      <c r="F457" s="243"/>
    </row>
    <row r="458" spans="1:6" ht="13.5" customHeight="1">
      <c r="A458" s="244"/>
      <c r="F458" s="243"/>
    </row>
    <row r="459" spans="1:6" ht="13.5" customHeight="1">
      <c r="A459" s="244"/>
      <c r="F459" s="243"/>
    </row>
    <row r="460" spans="1:6" ht="13.5" customHeight="1">
      <c r="A460" s="244"/>
      <c r="F460" s="243"/>
    </row>
    <row r="461" spans="1:6" ht="13.5" customHeight="1">
      <c r="A461" s="244"/>
      <c r="F461" s="243"/>
    </row>
    <row r="462" spans="1:6" ht="13.5" customHeight="1">
      <c r="A462" s="244"/>
      <c r="F462" s="243"/>
    </row>
    <row r="463" spans="1:6" ht="13.5" customHeight="1">
      <c r="A463" s="244"/>
      <c r="F463" s="243"/>
    </row>
    <row r="464" spans="1:6" ht="13.5" customHeight="1">
      <c r="A464" s="244"/>
      <c r="F464" s="243"/>
    </row>
    <row r="465" spans="1:6" ht="13.5" customHeight="1">
      <c r="A465" s="244"/>
      <c r="F465" s="243"/>
    </row>
    <row r="466" spans="1:6" ht="13.5" customHeight="1">
      <c r="A466" s="244"/>
      <c r="F466" s="243"/>
    </row>
    <row r="467" spans="1:6" ht="13.5" customHeight="1">
      <c r="A467" s="244"/>
      <c r="F467" s="243"/>
    </row>
    <row r="468" spans="1:6" ht="13.5" customHeight="1">
      <c r="A468" s="244"/>
      <c r="F468" s="243"/>
    </row>
    <row r="469" spans="1:6" ht="13.5" customHeight="1">
      <c r="A469" s="244"/>
      <c r="F469" s="243"/>
    </row>
    <row r="470" spans="1:6" ht="13.5" customHeight="1">
      <c r="A470" s="244"/>
      <c r="F470" s="243"/>
    </row>
    <row r="471" spans="1:6" ht="13.5" customHeight="1">
      <c r="A471" s="244"/>
      <c r="F471" s="243"/>
    </row>
    <row r="472" spans="1:6" ht="13.5" customHeight="1">
      <c r="A472" s="244"/>
      <c r="F472" s="243"/>
    </row>
    <row r="473" spans="1:6" ht="13.5" customHeight="1">
      <c r="A473" s="244"/>
      <c r="F473" s="243"/>
    </row>
    <row r="474" spans="1:6" ht="13.5" customHeight="1">
      <c r="A474" s="244"/>
      <c r="F474" s="243"/>
    </row>
    <row r="475" spans="1:6" ht="13.5" customHeight="1">
      <c r="A475" s="244"/>
      <c r="F475" s="243"/>
    </row>
    <row r="476" spans="1:6" ht="13.5" customHeight="1">
      <c r="A476" s="244"/>
      <c r="F476" s="243"/>
    </row>
    <row r="477" spans="1:6" ht="13.5" customHeight="1">
      <c r="A477" s="244"/>
      <c r="F477" s="243"/>
    </row>
    <row r="478" spans="1:6" ht="13.5" customHeight="1">
      <c r="A478" s="244"/>
      <c r="F478" s="243"/>
    </row>
    <row r="479" spans="1:6" ht="13.5" customHeight="1">
      <c r="A479" s="244"/>
      <c r="F479" s="243"/>
    </row>
    <row r="480" spans="1:6" ht="13.5" customHeight="1">
      <c r="A480" s="244"/>
      <c r="F480" s="243"/>
    </row>
    <row r="481" spans="1:6" ht="13.5" customHeight="1">
      <c r="A481" s="244"/>
      <c r="F481" s="243"/>
    </row>
    <row r="482" spans="1:6" ht="13.5" customHeight="1">
      <c r="A482" s="244"/>
      <c r="F482" s="243"/>
    </row>
    <row r="483" spans="1:6" ht="13.5" customHeight="1">
      <c r="A483" s="244"/>
      <c r="F483" s="243"/>
    </row>
    <row r="484" spans="1:6" ht="13.5" customHeight="1">
      <c r="A484" s="244"/>
      <c r="F484" s="243"/>
    </row>
    <row r="485" spans="1:6" ht="13.5" customHeight="1">
      <c r="A485" s="244"/>
      <c r="F485" s="243"/>
    </row>
    <row r="486" spans="1:6" ht="13.5" customHeight="1">
      <c r="A486" s="244"/>
      <c r="F486" s="243"/>
    </row>
    <row r="487" spans="1:6" ht="13.5" customHeight="1">
      <c r="A487" s="244"/>
      <c r="F487" s="243"/>
    </row>
    <row r="488" spans="1:6" ht="13.5" customHeight="1">
      <c r="A488" s="244"/>
      <c r="F488" s="243"/>
    </row>
    <row r="489" spans="1:6" ht="13.5" customHeight="1">
      <c r="A489" s="244"/>
      <c r="F489" s="243"/>
    </row>
    <row r="490" spans="1:6" ht="13.5" customHeight="1">
      <c r="A490" s="244"/>
      <c r="F490" s="243"/>
    </row>
    <row r="491" spans="1:6" ht="13.5" customHeight="1">
      <c r="A491" s="244"/>
      <c r="F491" s="243"/>
    </row>
    <row r="492" spans="1:6" ht="13.5" customHeight="1">
      <c r="A492" s="244"/>
      <c r="F492" s="243"/>
    </row>
    <row r="493" spans="1:6" ht="13.5" customHeight="1">
      <c r="A493" s="244"/>
      <c r="F493" s="243"/>
    </row>
    <row r="494" spans="1:6" ht="13.5" customHeight="1">
      <c r="A494" s="244"/>
      <c r="F494" s="243"/>
    </row>
    <row r="495" spans="1:6" ht="13.5" customHeight="1">
      <c r="A495" s="244"/>
      <c r="F495" s="243"/>
    </row>
    <row r="496" spans="1:6" ht="13.5" customHeight="1">
      <c r="A496" s="244"/>
      <c r="F496" s="243"/>
    </row>
    <row r="497" spans="1:6" ht="13.5" customHeight="1">
      <c r="A497" s="244"/>
      <c r="F497" s="243"/>
    </row>
    <row r="498" spans="1:6" ht="13.5" customHeight="1">
      <c r="A498" s="244"/>
      <c r="F498" s="243"/>
    </row>
    <row r="499" spans="1:6" ht="13.5" customHeight="1">
      <c r="A499" s="244"/>
      <c r="F499" s="243"/>
    </row>
    <row r="500" spans="1:6" ht="13.5" customHeight="1">
      <c r="A500" s="244"/>
      <c r="F500" s="243"/>
    </row>
    <row r="501" spans="1:6" ht="13.5" customHeight="1">
      <c r="A501" s="244"/>
      <c r="F501" s="243"/>
    </row>
    <row r="502" spans="1:6" ht="13.5" customHeight="1">
      <c r="A502" s="244"/>
      <c r="F502" s="243"/>
    </row>
    <row r="503" spans="1:6" ht="13.5" customHeight="1">
      <c r="A503" s="244"/>
      <c r="F503" s="243"/>
    </row>
    <row r="504" spans="1:6" ht="13.5" customHeight="1">
      <c r="A504" s="244"/>
      <c r="F504" s="243"/>
    </row>
    <row r="505" spans="1:6" ht="13.5" customHeight="1">
      <c r="A505" s="244"/>
      <c r="F505" s="243"/>
    </row>
    <row r="506" spans="1:6" ht="13.5" customHeight="1">
      <c r="A506" s="244"/>
      <c r="F506" s="243"/>
    </row>
    <row r="507" spans="1:6" ht="13.5" customHeight="1">
      <c r="A507" s="244"/>
      <c r="F507" s="243"/>
    </row>
    <row r="508" spans="1:6" ht="13.5" customHeight="1">
      <c r="A508" s="244"/>
      <c r="F508" s="243"/>
    </row>
    <row r="509" spans="1:6" ht="13.5" customHeight="1">
      <c r="A509" s="244"/>
      <c r="F509" s="243"/>
    </row>
    <row r="510" spans="1:6" ht="13.5" customHeight="1">
      <c r="A510" s="244"/>
      <c r="F510" s="243"/>
    </row>
    <row r="511" spans="1:6" ht="13.5" customHeight="1">
      <c r="A511" s="244"/>
      <c r="F511" s="243"/>
    </row>
    <row r="512" spans="1:6" ht="13.5" customHeight="1">
      <c r="A512" s="244"/>
      <c r="F512" s="243"/>
    </row>
    <row r="513" spans="1:6" ht="13.5" customHeight="1">
      <c r="A513" s="244"/>
      <c r="F513" s="243"/>
    </row>
    <row r="514" spans="1:6" ht="13.5" customHeight="1">
      <c r="A514" s="244"/>
      <c r="F514" s="243"/>
    </row>
    <row r="515" spans="1:6" ht="13.5" customHeight="1">
      <c r="A515" s="244"/>
      <c r="F515" s="243"/>
    </row>
    <row r="516" spans="1:6" ht="13.5" customHeight="1">
      <c r="A516" s="244"/>
      <c r="F516" s="243"/>
    </row>
    <row r="517" spans="1:6" ht="13.5" customHeight="1">
      <c r="A517" s="244"/>
      <c r="F517" s="243"/>
    </row>
    <row r="518" spans="1:6" ht="13.5" customHeight="1">
      <c r="A518" s="244"/>
      <c r="F518" s="243"/>
    </row>
    <row r="519" spans="1:6" ht="13.5" customHeight="1">
      <c r="A519" s="244"/>
      <c r="F519" s="243"/>
    </row>
    <row r="520" spans="1:6" ht="13.5" customHeight="1">
      <c r="A520" s="244"/>
      <c r="F520" s="243"/>
    </row>
    <row r="521" spans="1:6" ht="13.5" customHeight="1">
      <c r="A521" s="244"/>
      <c r="F521" s="243"/>
    </row>
    <row r="522" spans="1:6" ht="13.5" customHeight="1">
      <c r="A522" s="244"/>
      <c r="F522" s="243"/>
    </row>
    <row r="523" spans="1:6" ht="13.5" customHeight="1">
      <c r="A523" s="244"/>
      <c r="F523" s="243"/>
    </row>
    <row r="524" spans="1:6" ht="13.5" customHeight="1">
      <c r="A524" s="244"/>
      <c r="F524" s="243"/>
    </row>
    <row r="525" spans="1:6" ht="13.5" customHeight="1">
      <c r="A525" s="244"/>
      <c r="F525" s="243"/>
    </row>
    <row r="526" spans="1:6" ht="13.5" customHeight="1">
      <c r="A526" s="244"/>
      <c r="F526" s="243"/>
    </row>
    <row r="527" spans="1:6" ht="13.5" customHeight="1">
      <c r="A527" s="244"/>
      <c r="F527" s="243"/>
    </row>
    <row r="528" spans="1:6" ht="13.5" customHeight="1">
      <c r="A528" s="244"/>
      <c r="F528" s="243"/>
    </row>
    <row r="529" spans="1:6" ht="13.5" customHeight="1">
      <c r="A529" s="244"/>
      <c r="F529" s="243"/>
    </row>
    <row r="530" spans="1:6" ht="13.5" customHeight="1">
      <c r="A530" s="244"/>
      <c r="F530" s="243"/>
    </row>
    <row r="531" spans="1:6" ht="13.5" customHeight="1">
      <c r="A531" s="244"/>
      <c r="F531" s="243"/>
    </row>
    <row r="532" spans="1:6" ht="13.5" customHeight="1">
      <c r="A532" s="244"/>
      <c r="F532" s="243"/>
    </row>
    <row r="533" spans="1:6" ht="13.5" customHeight="1">
      <c r="A533" s="244"/>
      <c r="F533" s="243"/>
    </row>
    <row r="534" spans="1:6" ht="13.5" customHeight="1">
      <c r="A534" s="244"/>
      <c r="F534" s="243"/>
    </row>
    <row r="535" spans="1:6" ht="13.5" customHeight="1">
      <c r="A535" s="244"/>
      <c r="F535" s="243"/>
    </row>
    <row r="536" spans="1:6" ht="13.5" customHeight="1">
      <c r="A536" s="244"/>
      <c r="F536" s="243"/>
    </row>
    <row r="537" spans="1:6" ht="13.5" customHeight="1">
      <c r="A537" s="244"/>
      <c r="F537" s="243"/>
    </row>
    <row r="538" spans="1:6" ht="13.5" customHeight="1">
      <c r="A538" s="244"/>
      <c r="F538" s="243"/>
    </row>
    <row r="539" spans="1:6" ht="13.5" customHeight="1">
      <c r="A539" s="244"/>
      <c r="F539" s="243"/>
    </row>
    <row r="540" spans="1:6" ht="13.5" customHeight="1">
      <c r="A540" s="244"/>
      <c r="F540" s="243"/>
    </row>
    <row r="541" spans="1:6" ht="13.5" customHeight="1">
      <c r="A541" s="244"/>
      <c r="F541" s="243"/>
    </row>
    <row r="542" spans="1:6" ht="13.5" customHeight="1">
      <c r="A542" s="244"/>
      <c r="F542" s="243"/>
    </row>
    <row r="543" spans="1:6" ht="13.5" customHeight="1">
      <c r="A543" s="244"/>
      <c r="F543" s="243"/>
    </row>
    <row r="544" spans="1:6" ht="13.5" customHeight="1">
      <c r="A544" s="244"/>
      <c r="F544" s="243"/>
    </row>
    <row r="545" spans="1:6" ht="13.5" customHeight="1">
      <c r="A545" s="244"/>
      <c r="F545" s="243"/>
    </row>
    <row r="546" spans="1:6" ht="13.5" customHeight="1">
      <c r="A546" s="244"/>
      <c r="F546" s="243"/>
    </row>
    <row r="547" spans="1:6" ht="13.5" customHeight="1">
      <c r="A547" s="244"/>
      <c r="F547" s="243"/>
    </row>
    <row r="548" spans="1:6" ht="13.5" customHeight="1">
      <c r="A548" s="244"/>
      <c r="F548" s="243"/>
    </row>
    <row r="549" spans="1:6" ht="13.5" customHeight="1">
      <c r="A549" s="244"/>
      <c r="F549" s="243"/>
    </row>
    <row r="550" spans="1:6" ht="13.5" customHeight="1">
      <c r="A550" s="244"/>
      <c r="F550" s="243"/>
    </row>
    <row r="551" spans="1:6" ht="13.5" customHeight="1">
      <c r="A551" s="244"/>
      <c r="F551" s="243"/>
    </row>
    <row r="552" spans="1:6" ht="13.5" customHeight="1">
      <c r="A552" s="244"/>
      <c r="F552" s="243"/>
    </row>
    <row r="553" spans="1:6" ht="13.5" customHeight="1">
      <c r="A553" s="244"/>
      <c r="F553" s="243"/>
    </row>
    <row r="554" spans="1:6" ht="13.5" customHeight="1">
      <c r="A554" s="244"/>
      <c r="F554" s="243"/>
    </row>
    <row r="555" spans="1:6" ht="13.5" customHeight="1">
      <c r="A555" s="244"/>
      <c r="F555" s="243"/>
    </row>
    <row r="556" spans="1:6" ht="13.5" customHeight="1">
      <c r="A556" s="244"/>
      <c r="F556" s="243"/>
    </row>
    <row r="557" spans="1:6" ht="13.5" customHeight="1">
      <c r="A557" s="244"/>
      <c r="F557" s="243"/>
    </row>
    <row r="558" spans="1:6" ht="13.5" customHeight="1">
      <c r="A558" s="244"/>
      <c r="F558" s="243"/>
    </row>
    <row r="559" spans="1:6" ht="13.5" customHeight="1">
      <c r="A559" s="244"/>
      <c r="F559" s="243"/>
    </row>
    <row r="560" spans="1:6" ht="13.5" customHeight="1">
      <c r="A560" s="244"/>
      <c r="F560" s="243"/>
    </row>
    <row r="561" spans="1:6" ht="13.5" customHeight="1">
      <c r="A561" s="244"/>
      <c r="F561" s="243"/>
    </row>
    <row r="562" spans="1:6" ht="13.5" customHeight="1">
      <c r="A562" s="244"/>
      <c r="F562" s="243"/>
    </row>
    <row r="563" spans="1:6" ht="13.5" customHeight="1">
      <c r="A563" s="244"/>
      <c r="F563" s="243"/>
    </row>
    <row r="564" spans="1:6" ht="13.5" customHeight="1">
      <c r="A564" s="244"/>
      <c r="F564" s="243"/>
    </row>
    <row r="565" spans="1:6" ht="13.5" customHeight="1">
      <c r="A565" s="244"/>
      <c r="F565" s="243"/>
    </row>
    <row r="566" spans="1:6" ht="13.5" customHeight="1">
      <c r="A566" s="244"/>
      <c r="F566" s="243"/>
    </row>
    <row r="567" spans="1:6" ht="13.5" customHeight="1">
      <c r="A567" s="244"/>
      <c r="F567" s="243"/>
    </row>
    <row r="568" spans="1:6" ht="13.5" customHeight="1">
      <c r="A568" s="244"/>
      <c r="F568" s="243"/>
    </row>
    <row r="569" spans="1:6" ht="13.5" customHeight="1">
      <c r="A569" s="244"/>
      <c r="F569" s="243"/>
    </row>
    <row r="570" spans="1:6" ht="13.5" customHeight="1">
      <c r="A570" s="244"/>
      <c r="F570" s="243"/>
    </row>
    <row r="571" spans="1:6" ht="13.5" customHeight="1">
      <c r="A571" s="244"/>
      <c r="F571" s="243"/>
    </row>
    <row r="572" spans="1:6" ht="13.5" customHeight="1">
      <c r="A572" s="244"/>
      <c r="F572" s="243"/>
    </row>
    <row r="573" spans="1:6" ht="13.5" customHeight="1">
      <c r="A573" s="244"/>
      <c r="F573" s="243"/>
    </row>
    <row r="574" spans="1:6" ht="13.5" customHeight="1">
      <c r="A574" s="244"/>
      <c r="F574" s="243"/>
    </row>
    <row r="575" spans="1:6" ht="13.5" customHeight="1">
      <c r="A575" s="244"/>
      <c r="F575" s="243"/>
    </row>
    <row r="576" spans="1:6" ht="13.5" customHeight="1">
      <c r="A576" s="244"/>
      <c r="F576" s="243"/>
    </row>
    <row r="577" spans="1:6" ht="13.5" customHeight="1">
      <c r="A577" s="244"/>
      <c r="F577" s="243"/>
    </row>
    <row r="578" spans="1:6" ht="13.5" customHeight="1">
      <c r="A578" s="244"/>
      <c r="F578" s="243"/>
    </row>
    <row r="579" spans="1:6" ht="13.5" customHeight="1">
      <c r="A579" s="244"/>
      <c r="F579" s="243"/>
    </row>
    <row r="580" spans="1:6" ht="13.5" customHeight="1">
      <c r="A580" s="244"/>
      <c r="F580" s="243"/>
    </row>
    <row r="581" spans="1:6" ht="13.5" customHeight="1">
      <c r="A581" s="244"/>
      <c r="F581" s="243"/>
    </row>
    <row r="582" spans="1:6" ht="13.5" customHeight="1">
      <c r="A582" s="244"/>
      <c r="F582" s="243"/>
    </row>
    <row r="583" spans="1:6" ht="13.5" customHeight="1">
      <c r="A583" s="244"/>
      <c r="F583" s="243"/>
    </row>
    <row r="584" spans="1:6" ht="13.5" customHeight="1">
      <c r="A584" s="244"/>
      <c r="F584" s="243"/>
    </row>
    <row r="585" spans="1:6" ht="13.5" customHeight="1">
      <c r="A585" s="244"/>
      <c r="F585" s="243"/>
    </row>
    <row r="586" spans="1:6" ht="13.5" customHeight="1">
      <c r="A586" s="244"/>
      <c r="F586" s="243"/>
    </row>
    <row r="587" spans="1:6" ht="13.5" customHeight="1">
      <c r="A587" s="244"/>
      <c r="F587" s="243"/>
    </row>
    <row r="588" spans="1:6" ht="13.5" customHeight="1">
      <c r="A588" s="244"/>
      <c r="F588" s="243"/>
    </row>
    <row r="589" spans="1:6" ht="13.5" customHeight="1">
      <c r="A589" s="244"/>
      <c r="F589" s="243"/>
    </row>
    <row r="590" spans="1:6" ht="13.5" customHeight="1">
      <c r="A590" s="244"/>
      <c r="F590" s="243"/>
    </row>
    <row r="591" spans="1:6" ht="13.5" customHeight="1">
      <c r="A591" s="244"/>
      <c r="F591" s="243"/>
    </row>
    <row r="592" spans="1:6" ht="13.5" customHeight="1">
      <c r="A592" s="244"/>
      <c r="F592" s="243"/>
    </row>
    <row r="593" spans="1:6" ht="13.5" customHeight="1">
      <c r="A593" s="244"/>
      <c r="F593" s="243"/>
    </row>
    <row r="594" spans="1:6" ht="13.5" customHeight="1">
      <c r="A594" s="244"/>
      <c r="F594" s="243"/>
    </row>
    <row r="595" spans="1:6" ht="13.5" customHeight="1">
      <c r="A595" s="244"/>
      <c r="F595" s="243"/>
    </row>
    <row r="596" spans="1:6" ht="13.5" customHeight="1">
      <c r="A596" s="244"/>
      <c r="F596" s="243"/>
    </row>
    <row r="597" spans="1:6" ht="13.5" customHeight="1">
      <c r="A597" s="244"/>
      <c r="F597" s="243"/>
    </row>
    <row r="598" spans="1:6" ht="13.5" customHeight="1">
      <c r="A598" s="244"/>
      <c r="F598" s="243"/>
    </row>
    <row r="599" spans="1:6" ht="13.5" customHeight="1">
      <c r="A599" s="244"/>
      <c r="F599" s="243"/>
    </row>
    <row r="600" spans="1:6" ht="13.5" customHeight="1">
      <c r="A600" s="244"/>
      <c r="F600" s="243"/>
    </row>
    <row r="601" spans="1:6" ht="13.5" customHeight="1">
      <c r="A601" s="244"/>
      <c r="F601" s="243"/>
    </row>
    <row r="602" spans="1:6" ht="13.5" customHeight="1">
      <c r="A602" s="244"/>
      <c r="F602" s="243"/>
    </row>
    <row r="603" spans="1:6" ht="13.5" customHeight="1">
      <c r="A603" s="244"/>
      <c r="F603" s="243"/>
    </row>
    <row r="604" spans="1:6" ht="13.5" customHeight="1">
      <c r="A604" s="244"/>
      <c r="F604" s="243"/>
    </row>
    <row r="605" spans="1:6" ht="13.5" customHeight="1">
      <c r="A605" s="244"/>
      <c r="F605" s="243"/>
    </row>
    <row r="606" spans="1:6" ht="13.5" customHeight="1">
      <c r="A606" s="244"/>
      <c r="F606" s="243"/>
    </row>
    <row r="607" spans="1:6" ht="13.5" customHeight="1">
      <c r="A607" s="244"/>
      <c r="F607" s="243"/>
    </row>
    <row r="608" spans="1:6" ht="13.5" customHeight="1">
      <c r="A608" s="244"/>
      <c r="F608" s="243"/>
    </row>
    <row r="609" spans="1:6" ht="13.5" customHeight="1">
      <c r="A609" s="244"/>
      <c r="F609" s="243"/>
    </row>
    <row r="610" spans="1:6" ht="13.5" customHeight="1">
      <c r="A610" s="244"/>
      <c r="F610" s="243"/>
    </row>
    <row r="611" spans="1:6" ht="13.5" customHeight="1">
      <c r="A611" s="244"/>
      <c r="F611" s="243"/>
    </row>
    <row r="612" spans="1:6" ht="13.5" customHeight="1">
      <c r="A612" s="244"/>
      <c r="F612" s="243"/>
    </row>
    <row r="613" spans="1:6" ht="13.5" customHeight="1">
      <c r="A613" s="244"/>
      <c r="F613" s="243"/>
    </row>
    <row r="614" spans="1:6" ht="13.5" customHeight="1">
      <c r="A614" s="244"/>
      <c r="F614" s="243"/>
    </row>
    <row r="615" spans="1:6" ht="13.5" customHeight="1">
      <c r="A615" s="244"/>
      <c r="F615" s="243"/>
    </row>
    <row r="616" spans="1:6" ht="13.5" customHeight="1">
      <c r="A616" s="244"/>
      <c r="F616" s="243"/>
    </row>
    <row r="617" spans="1:6" ht="13.5" customHeight="1">
      <c r="A617" s="244"/>
      <c r="F617" s="243"/>
    </row>
    <row r="618" spans="1:6" ht="13.5" customHeight="1">
      <c r="A618" s="244"/>
      <c r="F618" s="243"/>
    </row>
    <row r="619" spans="1:6" ht="13.5" customHeight="1">
      <c r="A619" s="244"/>
      <c r="F619" s="243"/>
    </row>
    <row r="620" spans="1:6" ht="13.5" customHeight="1">
      <c r="A620" s="244"/>
      <c r="F620" s="243"/>
    </row>
    <row r="621" spans="1:6" ht="13.5" customHeight="1">
      <c r="A621" s="244"/>
      <c r="F621" s="243"/>
    </row>
    <row r="622" spans="1:6" ht="13.5" customHeight="1">
      <c r="A622" s="244"/>
      <c r="F622" s="243"/>
    </row>
    <row r="623" spans="1:6" ht="13.5" customHeight="1">
      <c r="A623" s="244"/>
      <c r="F623" s="243"/>
    </row>
    <row r="624" spans="1:6" ht="13.5" customHeight="1">
      <c r="A624" s="244"/>
      <c r="F624" s="243"/>
    </row>
    <row r="625" spans="1:6" ht="13.5" customHeight="1">
      <c r="A625" s="244"/>
      <c r="F625" s="243"/>
    </row>
    <row r="626" spans="1:6" ht="13.5" customHeight="1">
      <c r="A626" s="244"/>
      <c r="F626" s="243"/>
    </row>
    <row r="627" spans="1:6" ht="13.5" customHeight="1">
      <c r="A627" s="244"/>
      <c r="F627" s="243"/>
    </row>
    <row r="628" spans="1:6" ht="13.5" customHeight="1">
      <c r="A628" s="244"/>
      <c r="F628" s="243"/>
    </row>
    <row r="629" spans="1:6" ht="13.5" customHeight="1">
      <c r="A629" s="244"/>
      <c r="F629" s="243"/>
    </row>
    <row r="630" spans="1:6" ht="13.5" customHeight="1">
      <c r="A630" s="244"/>
      <c r="F630" s="243"/>
    </row>
    <row r="631" spans="1:6" ht="13.5" customHeight="1">
      <c r="A631" s="244"/>
      <c r="F631" s="243"/>
    </row>
    <row r="632" spans="1:6" ht="13.5" customHeight="1">
      <c r="A632" s="244"/>
      <c r="F632" s="243"/>
    </row>
    <row r="633" spans="1:6" ht="13.5" customHeight="1">
      <c r="A633" s="244"/>
      <c r="F633" s="243"/>
    </row>
    <row r="634" spans="1:6" ht="13.5" customHeight="1">
      <c r="A634" s="244"/>
      <c r="F634" s="243"/>
    </row>
    <row r="635" spans="1:6" ht="13.5" customHeight="1">
      <c r="A635" s="244"/>
      <c r="F635" s="243"/>
    </row>
    <row r="636" spans="1:6" ht="13.5" customHeight="1">
      <c r="A636" s="244"/>
      <c r="F636" s="243"/>
    </row>
    <row r="637" spans="1:6" ht="13.5" customHeight="1">
      <c r="A637" s="244"/>
      <c r="F637" s="243"/>
    </row>
    <row r="638" spans="1:6" ht="13.5" customHeight="1">
      <c r="A638" s="244"/>
      <c r="F638" s="243"/>
    </row>
    <row r="639" spans="1:6" ht="13.5" customHeight="1">
      <c r="A639" s="244"/>
      <c r="F639" s="243"/>
    </row>
    <row r="640" spans="1:6" ht="13.5" customHeight="1">
      <c r="A640" s="244"/>
      <c r="F640" s="243"/>
    </row>
    <row r="641" spans="1:6" ht="13.5" customHeight="1">
      <c r="A641" s="244"/>
      <c r="F641" s="243"/>
    </row>
    <row r="642" spans="1:6" ht="13.5" customHeight="1">
      <c r="A642" s="244"/>
      <c r="F642" s="243"/>
    </row>
    <row r="643" spans="1:6" ht="13.5" customHeight="1">
      <c r="A643" s="244"/>
      <c r="F643" s="243"/>
    </row>
    <row r="644" spans="1:6" ht="13.5" customHeight="1">
      <c r="A644" s="244"/>
      <c r="F644" s="243"/>
    </row>
    <row r="645" spans="1:6" ht="13.5" customHeight="1">
      <c r="A645" s="244"/>
      <c r="F645" s="243"/>
    </row>
    <row r="646" spans="1:6" ht="13.5" customHeight="1">
      <c r="A646" s="244"/>
      <c r="F646" s="243"/>
    </row>
    <row r="647" spans="1:6" ht="13.5" customHeight="1">
      <c r="A647" s="244"/>
      <c r="F647" s="243"/>
    </row>
    <row r="648" spans="1:6" ht="13.5" customHeight="1">
      <c r="A648" s="244"/>
      <c r="F648" s="243"/>
    </row>
    <row r="649" spans="1:6" ht="13.5" customHeight="1">
      <c r="A649" s="244"/>
      <c r="F649" s="243"/>
    </row>
    <row r="650" spans="1:6" ht="13.5" customHeight="1">
      <c r="A650" s="244"/>
      <c r="F650" s="243"/>
    </row>
    <row r="651" spans="1:6" ht="13.5" customHeight="1">
      <c r="A651" s="244"/>
      <c r="F651" s="243"/>
    </row>
    <row r="652" spans="1:6" ht="13.5" customHeight="1">
      <c r="A652" s="244"/>
      <c r="F652" s="243"/>
    </row>
    <row r="653" spans="1:6" ht="13.5" customHeight="1">
      <c r="A653" s="244"/>
      <c r="F653" s="243"/>
    </row>
    <row r="654" spans="1:6" ht="13.5" customHeight="1">
      <c r="A654" s="244"/>
      <c r="F654" s="243"/>
    </row>
    <row r="655" spans="1:6" ht="13.5" customHeight="1">
      <c r="A655" s="244"/>
      <c r="F655" s="243"/>
    </row>
    <row r="656" spans="1:6" ht="13.5" customHeight="1">
      <c r="A656" s="244"/>
      <c r="F656" s="243"/>
    </row>
    <row r="657" spans="1:6" ht="13.5" customHeight="1">
      <c r="A657" s="244"/>
      <c r="F657" s="243"/>
    </row>
    <row r="658" spans="1:6" ht="13.5" customHeight="1">
      <c r="A658" s="244"/>
      <c r="F658" s="243"/>
    </row>
    <row r="659" spans="1:6" ht="13.5" customHeight="1">
      <c r="A659" s="244"/>
      <c r="F659" s="243"/>
    </row>
    <row r="660" spans="1:6" ht="13.5" customHeight="1">
      <c r="A660" s="244"/>
      <c r="F660" s="243"/>
    </row>
    <row r="661" spans="1:6" ht="13.5" customHeight="1">
      <c r="A661" s="244"/>
      <c r="F661" s="243"/>
    </row>
    <row r="662" spans="1:6" ht="13.5" customHeight="1">
      <c r="A662" s="244"/>
      <c r="F662" s="243"/>
    </row>
    <row r="663" spans="1:6" ht="13.5" customHeight="1">
      <c r="A663" s="244"/>
      <c r="F663" s="243"/>
    </row>
    <row r="664" spans="1:6" ht="13.5" customHeight="1">
      <c r="A664" s="244"/>
      <c r="F664" s="243"/>
    </row>
    <row r="665" spans="1:6" ht="13.5" customHeight="1">
      <c r="A665" s="244"/>
      <c r="F665" s="243"/>
    </row>
    <row r="666" spans="1:6" ht="13.5" customHeight="1">
      <c r="A666" s="244"/>
      <c r="F666" s="243"/>
    </row>
    <row r="667" spans="1:6" ht="13.5" customHeight="1">
      <c r="A667" s="244"/>
      <c r="F667" s="243"/>
    </row>
    <row r="668" spans="1:6" ht="13.5" customHeight="1">
      <c r="A668" s="244"/>
      <c r="F668" s="243"/>
    </row>
    <row r="669" spans="1:6" ht="13.5" customHeight="1">
      <c r="A669" s="244"/>
      <c r="F669" s="243"/>
    </row>
    <row r="670" spans="1:6" ht="13.5" customHeight="1">
      <c r="A670" s="244"/>
      <c r="F670" s="243"/>
    </row>
    <row r="671" spans="1:6" ht="13.5" customHeight="1">
      <c r="A671" s="244"/>
      <c r="F671" s="243"/>
    </row>
    <row r="672" spans="1:6" ht="13.5" customHeight="1">
      <c r="A672" s="244"/>
      <c r="F672" s="243"/>
    </row>
    <row r="673" spans="1:6" ht="13.5" customHeight="1">
      <c r="A673" s="244"/>
      <c r="F673" s="243"/>
    </row>
    <row r="674" spans="1:6" ht="13.5" customHeight="1">
      <c r="A674" s="244"/>
      <c r="F674" s="243"/>
    </row>
    <row r="675" spans="1:6" ht="13.5" customHeight="1">
      <c r="A675" s="244"/>
      <c r="F675" s="243"/>
    </row>
    <row r="676" spans="1:6" ht="13.5" customHeight="1">
      <c r="A676" s="244"/>
      <c r="F676" s="243"/>
    </row>
    <row r="677" spans="1:6" ht="13.5" customHeight="1">
      <c r="A677" s="244"/>
      <c r="F677" s="243"/>
    </row>
    <row r="678" spans="1:6" ht="13.5" customHeight="1">
      <c r="A678" s="244"/>
      <c r="F678" s="243"/>
    </row>
    <row r="679" spans="1:6" ht="13.5" customHeight="1">
      <c r="A679" s="244"/>
      <c r="F679" s="243"/>
    </row>
    <row r="680" spans="1:6" ht="13.5" customHeight="1">
      <c r="A680" s="244"/>
      <c r="F680" s="243"/>
    </row>
    <row r="681" spans="1:6" ht="13.5" customHeight="1">
      <c r="A681" s="244"/>
      <c r="F681" s="243"/>
    </row>
    <row r="682" spans="1:6" ht="13.5" customHeight="1">
      <c r="A682" s="244"/>
      <c r="F682" s="243"/>
    </row>
    <row r="683" spans="1:6" ht="13.5" customHeight="1">
      <c r="A683" s="244"/>
      <c r="F683" s="243"/>
    </row>
    <row r="684" spans="1:6" ht="13.5" customHeight="1">
      <c r="A684" s="244"/>
      <c r="F684" s="243"/>
    </row>
    <row r="685" spans="1:6" ht="13.5" customHeight="1">
      <c r="A685" s="244"/>
      <c r="F685" s="243"/>
    </row>
    <row r="686" spans="1:6" ht="13.5" customHeight="1">
      <c r="A686" s="244"/>
      <c r="F686" s="243"/>
    </row>
    <row r="687" spans="1:6" ht="13.5" customHeight="1">
      <c r="A687" s="244"/>
      <c r="F687" s="243"/>
    </row>
    <row r="688" spans="1:6" ht="13.5" customHeight="1">
      <c r="A688" s="244"/>
      <c r="F688" s="243"/>
    </row>
    <row r="689" spans="1:6" ht="13.5" customHeight="1">
      <c r="A689" s="244"/>
      <c r="F689" s="243"/>
    </row>
    <row r="690" spans="1:6" ht="13.5" customHeight="1">
      <c r="A690" s="244"/>
      <c r="F690" s="243"/>
    </row>
    <row r="691" spans="1:6" ht="13.5" customHeight="1">
      <c r="A691" s="244"/>
      <c r="F691" s="243"/>
    </row>
    <row r="692" spans="1:6" ht="13.5" customHeight="1">
      <c r="A692" s="244"/>
      <c r="F692" s="243"/>
    </row>
    <row r="693" spans="1:6" ht="13.5" customHeight="1">
      <c r="A693" s="244"/>
      <c r="F693" s="243"/>
    </row>
    <row r="694" spans="1:6" ht="13.5" customHeight="1">
      <c r="A694" s="244"/>
      <c r="F694" s="243"/>
    </row>
    <row r="695" spans="1:6" ht="13.5" customHeight="1">
      <c r="A695" s="244"/>
      <c r="F695" s="243"/>
    </row>
    <row r="696" spans="1:6" ht="13.5" customHeight="1">
      <c r="A696" s="244"/>
      <c r="F696" s="243"/>
    </row>
    <row r="697" spans="1:6" ht="13.5" customHeight="1">
      <c r="A697" s="244"/>
      <c r="F697" s="243"/>
    </row>
    <row r="698" spans="1:6" ht="13.5" customHeight="1">
      <c r="A698" s="244"/>
      <c r="F698" s="243"/>
    </row>
    <row r="699" spans="1:6" ht="13.5" customHeight="1">
      <c r="A699" s="244"/>
      <c r="F699" s="243"/>
    </row>
    <row r="700" spans="1:6" ht="13.5" customHeight="1">
      <c r="A700" s="244"/>
      <c r="F700" s="243"/>
    </row>
    <row r="701" spans="1:6" ht="13.5" customHeight="1">
      <c r="A701" s="244"/>
      <c r="F701" s="243"/>
    </row>
    <row r="702" spans="1:6" ht="13.5" customHeight="1">
      <c r="A702" s="244"/>
      <c r="F702" s="243"/>
    </row>
    <row r="703" spans="1:6" ht="13.5" customHeight="1">
      <c r="A703" s="244"/>
      <c r="F703" s="243"/>
    </row>
    <row r="704" spans="1:6" ht="13.5" customHeight="1">
      <c r="A704" s="244"/>
      <c r="F704" s="243"/>
    </row>
    <row r="705" spans="1:6" ht="13.5" customHeight="1">
      <c r="A705" s="244"/>
      <c r="F705" s="243"/>
    </row>
    <row r="706" spans="1:6" ht="13.5" customHeight="1">
      <c r="A706" s="244"/>
      <c r="F706" s="243"/>
    </row>
    <row r="707" spans="1:6" ht="13.5" customHeight="1">
      <c r="A707" s="244"/>
      <c r="F707" s="243"/>
    </row>
    <row r="708" spans="1:6" ht="13.5" customHeight="1">
      <c r="A708" s="244"/>
      <c r="F708" s="243"/>
    </row>
    <row r="709" spans="1:6" ht="13.5" customHeight="1">
      <c r="A709" s="244"/>
      <c r="F709" s="243"/>
    </row>
    <row r="710" spans="1:6" ht="13.5" customHeight="1">
      <c r="A710" s="244"/>
      <c r="F710" s="243"/>
    </row>
    <row r="711" spans="1:6" ht="13.5" customHeight="1">
      <c r="A711" s="244"/>
      <c r="F711" s="243"/>
    </row>
    <row r="712" spans="1:6" ht="13.5" customHeight="1">
      <c r="A712" s="244"/>
      <c r="F712" s="243"/>
    </row>
    <row r="713" spans="1:6" ht="13.5" customHeight="1">
      <c r="A713" s="244"/>
      <c r="F713" s="243"/>
    </row>
    <row r="714" spans="1:6" ht="13.5" customHeight="1">
      <c r="A714" s="244"/>
      <c r="F714" s="243"/>
    </row>
    <row r="715" spans="1:6" ht="13.5" customHeight="1">
      <c r="A715" s="244"/>
      <c r="F715" s="243"/>
    </row>
    <row r="716" spans="1:6" ht="13.5" customHeight="1">
      <c r="A716" s="244"/>
      <c r="F716" s="243"/>
    </row>
    <row r="717" spans="1:6" ht="13.5" customHeight="1">
      <c r="A717" s="244"/>
      <c r="F717" s="243"/>
    </row>
    <row r="718" spans="1:6" ht="13.5" customHeight="1">
      <c r="A718" s="244"/>
      <c r="F718" s="243"/>
    </row>
    <row r="719" spans="1:6" ht="13.5" customHeight="1">
      <c r="A719" s="244"/>
      <c r="F719" s="243"/>
    </row>
    <row r="720" spans="1:6" ht="13.5" customHeight="1">
      <c r="A720" s="244"/>
      <c r="F720" s="243"/>
    </row>
    <row r="721" spans="1:6" ht="13.5" customHeight="1">
      <c r="A721" s="244"/>
      <c r="F721" s="243"/>
    </row>
    <row r="722" spans="1:6" ht="13.5" customHeight="1">
      <c r="A722" s="244"/>
      <c r="F722" s="243"/>
    </row>
    <row r="723" spans="1:6" ht="13.5" customHeight="1">
      <c r="A723" s="244"/>
      <c r="F723" s="243"/>
    </row>
    <row r="724" spans="1:6" ht="13.5" customHeight="1">
      <c r="A724" s="244"/>
      <c r="F724" s="243"/>
    </row>
    <row r="725" spans="1:6" ht="13.5" customHeight="1">
      <c r="A725" s="244"/>
      <c r="F725" s="243"/>
    </row>
    <row r="726" spans="1:6" ht="13.5" customHeight="1">
      <c r="A726" s="244"/>
      <c r="F726" s="243"/>
    </row>
    <row r="727" spans="1:6" ht="13.5" customHeight="1">
      <c r="A727" s="244"/>
      <c r="F727" s="243"/>
    </row>
    <row r="728" spans="1:6" ht="13.5" customHeight="1">
      <c r="A728" s="244"/>
      <c r="F728" s="243"/>
    </row>
    <row r="729" spans="1:6" ht="13.5" customHeight="1">
      <c r="A729" s="244"/>
      <c r="F729" s="243"/>
    </row>
    <row r="730" spans="1:6" ht="13.5" customHeight="1">
      <c r="A730" s="244"/>
      <c r="F730" s="243"/>
    </row>
    <row r="731" spans="1:6" ht="13.5" customHeight="1">
      <c r="A731" s="244"/>
      <c r="F731" s="243"/>
    </row>
    <row r="732" spans="1:6" ht="13.5" customHeight="1">
      <c r="A732" s="244"/>
      <c r="F732" s="243"/>
    </row>
    <row r="733" spans="1:6" ht="13.5" customHeight="1">
      <c r="A733" s="244"/>
      <c r="F733" s="243"/>
    </row>
    <row r="734" spans="1:6" ht="13.5" customHeight="1">
      <c r="A734" s="244"/>
      <c r="F734" s="243"/>
    </row>
    <row r="735" spans="1:6" ht="13.5" customHeight="1">
      <c r="A735" s="244"/>
      <c r="F735" s="243"/>
    </row>
    <row r="736" spans="1:6" ht="13.5" customHeight="1">
      <c r="A736" s="244"/>
      <c r="F736" s="243"/>
    </row>
    <row r="737" spans="1:6" ht="13.5" customHeight="1">
      <c r="A737" s="244"/>
      <c r="F737" s="243"/>
    </row>
    <row r="738" spans="1:6" ht="13.5" customHeight="1">
      <c r="A738" s="244"/>
      <c r="F738" s="243"/>
    </row>
    <row r="739" spans="1:6" ht="13.5" customHeight="1">
      <c r="A739" s="244"/>
      <c r="F739" s="243"/>
    </row>
    <row r="740" spans="1:6" ht="13.5" customHeight="1">
      <c r="A740" s="244"/>
      <c r="F740" s="243"/>
    </row>
    <row r="741" spans="1:6" ht="13.5" customHeight="1">
      <c r="A741" s="244"/>
      <c r="F741" s="243"/>
    </row>
    <row r="742" spans="1:6" ht="13.5" customHeight="1">
      <c r="A742" s="244"/>
      <c r="F742" s="243"/>
    </row>
    <row r="743" spans="1:6" ht="13.5" customHeight="1">
      <c r="A743" s="244"/>
      <c r="F743" s="243"/>
    </row>
    <row r="744" spans="1:6" ht="13.5" customHeight="1">
      <c r="A744" s="244"/>
      <c r="F744" s="243"/>
    </row>
    <row r="745" spans="1:6" ht="13.5" customHeight="1">
      <c r="A745" s="244"/>
      <c r="F745" s="243"/>
    </row>
    <row r="746" spans="1:6" ht="13.5" customHeight="1">
      <c r="A746" s="244"/>
      <c r="F746" s="243"/>
    </row>
    <row r="747" spans="1:6" ht="13.5" customHeight="1">
      <c r="A747" s="244"/>
      <c r="F747" s="243"/>
    </row>
    <row r="748" spans="1:6" ht="13.5" customHeight="1">
      <c r="A748" s="244"/>
      <c r="F748" s="243"/>
    </row>
    <row r="749" spans="1:6" ht="13.5" customHeight="1">
      <c r="A749" s="244"/>
      <c r="F749" s="243"/>
    </row>
    <row r="750" spans="1:6" ht="13.5" customHeight="1">
      <c r="A750" s="244"/>
      <c r="F750" s="243"/>
    </row>
    <row r="751" spans="1:6" ht="13.5" customHeight="1">
      <c r="A751" s="244"/>
      <c r="F751" s="243"/>
    </row>
    <row r="752" spans="1:6" ht="13.5" customHeight="1">
      <c r="A752" s="244"/>
      <c r="F752" s="243"/>
    </row>
    <row r="753" spans="1:6" ht="13.5" customHeight="1">
      <c r="A753" s="244"/>
      <c r="F753" s="243"/>
    </row>
    <row r="754" spans="1:6" ht="13.5" customHeight="1">
      <c r="A754" s="244"/>
      <c r="F754" s="243"/>
    </row>
    <row r="755" spans="1:6" ht="13.5" customHeight="1">
      <c r="A755" s="244"/>
      <c r="F755" s="243"/>
    </row>
    <row r="756" spans="1:6" ht="13.5" customHeight="1">
      <c r="A756" s="244"/>
      <c r="F756" s="243"/>
    </row>
    <row r="757" spans="1:6" ht="13.5" customHeight="1">
      <c r="A757" s="244"/>
      <c r="F757" s="243"/>
    </row>
    <row r="758" spans="1:6" ht="13.5" customHeight="1">
      <c r="A758" s="244"/>
      <c r="F758" s="243"/>
    </row>
    <row r="759" spans="1:6" ht="13.5" customHeight="1">
      <c r="A759" s="244"/>
      <c r="F759" s="243"/>
    </row>
    <row r="760" spans="1:6" ht="13.5" customHeight="1">
      <c r="A760" s="244"/>
      <c r="F760" s="243"/>
    </row>
    <row r="761" spans="1:6" ht="13.5" customHeight="1">
      <c r="A761" s="244"/>
      <c r="F761" s="243"/>
    </row>
    <row r="762" spans="1:6" ht="13.5" customHeight="1">
      <c r="A762" s="244"/>
      <c r="F762" s="243"/>
    </row>
    <row r="763" spans="1:6" ht="13.5" customHeight="1">
      <c r="A763" s="244"/>
      <c r="F763" s="243"/>
    </row>
    <row r="764" spans="1:6" ht="13.5" customHeight="1">
      <c r="A764" s="244"/>
      <c r="F764" s="243"/>
    </row>
    <row r="765" spans="1:6" ht="13.5" customHeight="1">
      <c r="A765" s="244"/>
      <c r="F765" s="243"/>
    </row>
    <row r="766" spans="1:6" ht="13.5" customHeight="1">
      <c r="A766" s="244"/>
      <c r="F766" s="243"/>
    </row>
    <row r="767" spans="1:6" ht="13.5" customHeight="1">
      <c r="A767" s="244"/>
      <c r="F767" s="243"/>
    </row>
    <row r="768" spans="1:6" ht="13.5" customHeight="1">
      <c r="A768" s="244"/>
      <c r="F768" s="243"/>
    </row>
    <row r="769" spans="1:6" ht="13.5" customHeight="1">
      <c r="A769" s="244"/>
      <c r="F769" s="243"/>
    </row>
    <row r="770" spans="1:6" ht="13.5" customHeight="1">
      <c r="A770" s="244"/>
      <c r="F770" s="243"/>
    </row>
    <row r="771" spans="1:6" ht="13.5" customHeight="1">
      <c r="A771" s="244"/>
      <c r="F771" s="243"/>
    </row>
    <row r="772" spans="1:6" ht="13.5" customHeight="1">
      <c r="A772" s="244"/>
      <c r="F772" s="243"/>
    </row>
    <row r="773" spans="1:6" ht="13.5" customHeight="1">
      <c r="A773" s="244"/>
      <c r="F773" s="243"/>
    </row>
    <row r="774" spans="1:6" ht="13.5" customHeight="1">
      <c r="A774" s="244"/>
      <c r="F774" s="243"/>
    </row>
    <row r="775" spans="1:6" ht="13.5" customHeight="1">
      <c r="A775" s="244"/>
      <c r="F775" s="243"/>
    </row>
    <row r="776" spans="1:6" ht="13.5" customHeight="1">
      <c r="A776" s="244"/>
      <c r="F776" s="243"/>
    </row>
    <row r="777" spans="1:6" ht="13.5" customHeight="1">
      <c r="A777" s="244"/>
      <c r="F777" s="243"/>
    </row>
    <row r="778" spans="1:6" ht="13.5" customHeight="1">
      <c r="A778" s="244"/>
      <c r="F778" s="243"/>
    </row>
    <row r="779" spans="1:6" ht="13.5" customHeight="1">
      <c r="A779" s="244"/>
      <c r="F779" s="243"/>
    </row>
    <row r="780" spans="1:6" ht="13.5" customHeight="1">
      <c r="A780" s="244"/>
      <c r="F780" s="243"/>
    </row>
    <row r="781" spans="1:6" ht="13.5" customHeight="1">
      <c r="A781" s="244"/>
      <c r="F781" s="243"/>
    </row>
    <row r="782" spans="1:6" ht="13.5" customHeight="1">
      <c r="A782" s="244"/>
      <c r="F782" s="243"/>
    </row>
    <row r="783" spans="1:6" ht="13.5" customHeight="1">
      <c r="A783" s="244"/>
      <c r="F783" s="243"/>
    </row>
    <row r="784" spans="1:6" ht="13.5" customHeight="1">
      <c r="A784" s="244"/>
      <c r="F784" s="243"/>
    </row>
    <row r="785" spans="1:6" ht="13.5" customHeight="1">
      <c r="A785" s="244"/>
      <c r="F785" s="243"/>
    </row>
    <row r="786" spans="1:6" ht="13.5" customHeight="1">
      <c r="A786" s="244"/>
      <c r="F786" s="243"/>
    </row>
    <row r="787" spans="1:6" ht="13.5" customHeight="1">
      <c r="A787" s="244"/>
      <c r="F787" s="243"/>
    </row>
    <row r="788" spans="1:6" ht="13.5" customHeight="1">
      <c r="A788" s="244"/>
      <c r="F788" s="243"/>
    </row>
    <row r="789" spans="1:6" ht="13.5" customHeight="1">
      <c r="A789" s="244"/>
      <c r="F789" s="243"/>
    </row>
    <row r="790" spans="1:6" ht="13.5" customHeight="1">
      <c r="A790" s="244"/>
      <c r="F790" s="243"/>
    </row>
    <row r="791" spans="1:6" ht="13.5" customHeight="1">
      <c r="A791" s="244"/>
      <c r="F791" s="243"/>
    </row>
    <row r="792" spans="1:6" ht="13.5" customHeight="1">
      <c r="A792" s="244"/>
      <c r="F792" s="243"/>
    </row>
    <row r="793" spans="1:6" ht="13.5" customHeight="1">
      <c r="A793" s="244"/>
      <c r="F793" s="243"/>
    </row>
    <row r="794" spans="1:6" ht="13.5" customHeight="1">
      <c r="A794" s="244"/>
      <c r="F794" s="243"/>
    </row>
    <row r="795" spans="1:6" ht="13.5" customHeight="1">
      <c r="A795" s="244"/>
      <c r="F795" s="243"/>
    </row>
    <row r="796" spans="1:6" ht="13.5" customHeight="1">
      <c r="A796" s="244"/>
      <c r="F796" s="243"/>
    </row>
    <row r="797" spans="1:6" ht="13.5" customHeight="1">
      <c r="A797" s="244"/>
      <c r="F797" s="243"/>
    </row>
    <row r="798" spans="1:6" ht="13.5" customHeight="1">
      <c r="A798" s="244"/>
      <c r="F798" s="243"/>
    </row>
    <row r="799" spans="1:6" ht="13.5" customHeight="1">
      <c r="A799" s="244"/>
      <c r="F799" s="243"/>
    </row>
    <row r="800" spans="1:6" ht="13.5" customHeight="1">
      <c r="A800" s="244"/>
      <c r="F800" s="243"/>
    </row>
    <row r="801" spans="1:6" ht="13.5" customHeight="1">
      <c r="A801" s="244"/>
      <c r="F801" s="243"/>
    </row>
    <row r="802" spans="1:6" ht="13.5" customHeight="1">
      <c r="A802" s="244"/>
      <c r="F802" s="243"/>
    </row>
    <row r="803" spans="1:6" ht="13.5" customHeight="1">
      <c r="A803" s="244"/>
      <c r="F803" s="243"/>
    </row>
    <row r="804" spans="1:6" ht="13.5" customHeight="1">
      <c r="A804" s="244"/>
      <c r="F804" s="243"/>
    </row>
    <row r="805" spans="1:6" ht="13.5" customHeight="1">
      <c r="A805" s="244"/>
      <c r="F805" s="243"/>
    </row>
    <row r="806" spans="1:6" ht="13.5" customHeight="1">
      <c r="A806" s="244"/>
      <c r="F806" s="243"/>
    </row>
    <row r="807" spans="1:6" ht="13.5" customHeight="1">
      <c r="A807" s="244"/>
      <c r="F807" s="243"/>
    </row>
    <row r="808" spans="1:6" ht="13.5" customHeight="1">
      <c r="A808" s="244"/>
      <c r="F808" s="243"/>
    </row>
    <row r="809" spans="1:6" ht="13.5" customHeight="1">
      <c r="A809" s="244"/>
      <c r="F809" s="243"/>
    </row>
    <row r="810" spans="1:6" ht="13.5" customHeight="1">
      <c r="A810" s="244"/>
      <c r="F810" s="243"/>
    </row>
    <row r="811" spans="1:6" ht="13.5" customHeight="1">
      <c r="A811" s="244"/>
      <c r="F811" s="243"/>
    </row>
    <row r="812" spans="1:6" ht="13.5" customHeight="1">
      <c r="A812" s="244"/>
      <c r="F812" s="243"/>
    </row>
    <row r="813" spans="1:6" ht="13.5" customHeight="1">
      <c r="A813" s="244"/>
      <c r="F813" s="243"/>
    </row>
    <row r="814" spans="1:6" ht="13.5" customHeight="1">
      <c r="A814" s="244"/>
      <c r="F814" s="243"/>
    </row>
    <row r="815" spans="1:6" ht="13.5" customHeight="1">
      <c r="A815" s="244"/>
      <c r="F815" s="243"/>
    </row>
    <row r="816" spans="1:6" ht="13.5" customHeight="1">
      <c r="A816" s="244"/>
      <c r="F816" s="243"/>
    </row>
    <row r="817" spans="1:6" ht="13.5" customHeight="1">
      <c r="A817" s="244"/>
      <c r="F817" s="243"/>
    </row>
    <row r="818" spans="1:6" ht="13.5" customHeight="1">
      <c r="A818" s="244"/>
      <c r="F818" s="243"/>
    </row>
    <row r="819" spans="1:6" ht="13.5" customHeight="1">
      <c r="A819" s="244"/>
      <c r="F819" s="243"/>
    </row>
    <row r="820" spans="1:6" ht="13.5" customHeight="1">
      <c r="A820" s="244"/>
      <c r="F820" s="243"/>
    </row>
    <row r="821" spans="1:6" ht="13.5" customHeight="1">
      <c r="A821" s="244"/>
      <c r="F821" s="243"/>
    </row>
    <row r="822" spans="1:6" ht="13.5" customHeight="1">
      <c r="A822" s="244"/>
      <c r="F822" s="243"/>
    </row>
    <row r="823" spans="1:6" ht="13.5" customHeight="1">
      <c r="A823" s="244"/>
      <c r="F823" s="243"/>
    </row>
    <row r="824" spans="1:6" ht="13.5" customHeight="1">
      <c r="A824" s="244"/>
      <c r="F824" s="243"/>
    </row>
    <row r="825" spans="1:6" ht="13.5" customHeight="1">
      <c r="A825" s="244"/>
      <c r="F825" s="243"/>
    </row>
    <row r="826" spans="1:6" ht="13.5" customHeight="1">
      <c r="A826" s="244"/>
      <c r="F826" s="243"/>
    </row>
    <row r="827" spans="1:6" ht="13.5" customHeight="1">
      <c r="A827" s="244"/>
      <c r="F827" s="243"/>
    </row>
    <row r="828" spans="1:6" ht="13.5" customHeight="1">
      <c r="A828" s="244"/>
      <c r="F828" s="243"/>
    </row>
    <row r="829" spans="1:6" ht="13.5" customHeight="1">
      <c r="A829" s="244"/>
      <c r="F829" s="243"/>
    </row>
    <row r="830" spans="1:6" ht="13.5" customHeight="1">
      <c r="A830" s="244"/>
      <c r="F830" s="243"/>
    </row>
    <row r="831" spans="1:6" ht="13.5" customHeight="1">
      <c r="A831" s="244"/>
      <c r="F831" s="243"/>
    </row>
    <row r="832" spans="1:6" ht="13.5" customHeight="1">
      <c r="A832" s="244"/>
      <c r="F832" s="243"/>
    </row>
    <row r="833" spans="1:6" ht="13.5" customHeight="1">
      <c r="A833" s="244"/>
      <c r="F833" s="243"/>
    </row>
    <row r="834" spans="1:6" ht="13.5" customHeight="1">
      <c r="A834" s="244"/>
      <c r="F834" s="243"/>
    </row>
    <row r="835" spans="1:6" ht="13.5" customHeight="1">
      <c r="A835" s="244"/>
      <c r="F835" s="243"/>
    </row>
    <row r="836" spans="1:6" ht="13.5" customHeight="1">
      <c r="A836" s="244"/>
      <c r="F836" s="243"/>
    </row>
    <row r="837" spans="1:6" ht="13.5" customHeight="1">
      <c r="A837" s="244"/>
      <c r="F837" s="243"/>
    </row>
    <row r="838" spans="1:6" ht="13.5" customHeight="1">
      <c r="A838" s="244"/>
      <c r="F838" s="243"/>
    </row>
    <row r="839" spans="1:6" ht="13.5" customHeight="1">
      <c r="A839" s="244"/>
      <c r="F839" s="243"/>
    </row>
    <row r="840" spans="1:6" ht="13.5" customHeight="1">
      <c r="A840" s="244"/>
      <c r="F840" s="243"/>
    </row>
    <row r="841" spans="1:6" ht="13.5" customHeight="1">
      <c r="A841" s="244"/>
      <c r="F841" s="243"/>
    </row>
    <row r="842" spans="1:6" ht="13.5" customHeight="1">
      <c r="A842" s="244"/>
      <c r="F842" s="243"/>
    </row>
    <row r="843" spans="1:6" ht="13.5" customHeight="1">
      <c r="A843" s="244"/>
      <c r="F843" s="243"/>
    </row>
    <row r="844" spans="1:6" ht="13.5" customHeight="1">
      <c r="A844" s="244"/>
      <c r="F844" s="243"/>
    </row>
    <row r="845" spans="1:6" ht="13.5" customHeight="1">
      <c r="A845" s="244"/>
      <c r="F845" s="243"/>
    </row>
    <row r="846" spans="1:6" ht="13.5" customHeight="1">
      <c r="A846" s="244"/>
      <c r="F846" s="243"/>
    </row>
    <row r="847" spans="1:6" ht="13.5" customHeight="1">
      <c r="A847" s="244"/>
      <c r="F847" s="243"/>
    </row>
    <row r="848" spans="1:6" ht="13.5" customHeight="1">
      <c r="A848" s="244"/>
      <c r="F848" s="243"/>
    </row>
    <row r="849" spans="1:6" ht="13.5" customHeight="1">
      <c r="A849" s="244"/>
      <c r="F849" s="243"/>
    </row>
    <row r="850" spans="1:6" ht="13.5" customHeight="1">
      <c r="A850" s="244"/>
      <c r="F850" s="243"/>
    </row>
    <row r="851" spans="1:6" ht="13.5" customHeight="1">
      <c r="A851" s="244"/>
      <c r="F851" s="243"/>
    </row>
    <row r="852" spans="1:6" ht="13.5" customHeight="1">
      <c r="A852" s="244"/>
      <c r="F852" s="243"/>
    </row>
    <row r="853" spans="1:6" ht="13.5" customHeight="1">
      <c r="A853" s="244"/>
      <c r="F853" s="243"/>
    </row>
    <row r="854" spans="1:6" ht="13.5" customHeight="1">
      <c r="A854" s="244"/>
      <c r="F854" s="243"/>
    </row>
    <row r="855" spans="1:6" ht="13.5" customHeight="1">
      <c r="A855" s="244"/>
      <c r="F855" s="243"/>
    </row>
    <row r="856" spans="1:6" ht="13.5" customHeight="1">
      <c r="A856" s="244"/>
      <c r="F856" s="243"/>
    </row>
    <row r="857" spans="1:6" ht="13.5" customHeight="1">
      <c r="A857" s="244"/>
      <c r="F857" s="243"/>
    </row>
    <row r="858" spans="1:6" ht="13.5" customHeight="1">
      <c r="A858" s="244"/>
      <c r="F858" s="243"/>
    </row>
    <row r="859" spans="1:6" ht="13.5" customHeight="1">
      <c r="A859" s="244"/>
      <c r="F859" s="243"/>
    </row>
    <row r="860" spans="1:6" ht="13.5" customHeight="1">
      <c r="A860" s="244"/>
      <c r="F860" s="243"/>
    </row>
    <row r="861" spans="1:6" ht="13.5" customHeight="1">
      <c r="A861" s="244"/>
      <c r="F861" s="243"/>
    </row>
    <row r="862" spans="1:6" ht="13.5" customHeight="1">
      <c r="A862" s="244"/>
      <c r="F862" s="243"/>
    </row>
    <row r="863" spans="1:6" ht="13.5" customHeight="1">
      <c r="A863" s="244"/>
      <c r="F863" s="243"/>
    </row>
    <row r="864" spans="1:6" ht="13.5" customHeight="1">
      <c r="A864" s="244"/>
      <c r="F864" s="243"/>
    </row>
    <row r="865" spans="1:6" ht="13.5" customHeight="1">
      <c r="A865" s="244"/>
      <c r="F865" s="243"/>
    </row>
    <row r="866" spans="1:6" ht="13.5" customHeight="1">
      <c r="A866" s="244"/>
      <c r="F866" s="243"/>
    </row>
    <row r="867" spans="1:6" ht="13.5" customHeight="1">
      <c r="A867" s="244"/>
      <c r="F867" s="243"/>
    </row>
    <row r="868" spans="1:6" ht="13.5" customHeight="1">
      <c r="A868" s="244"/>
      <c r="F868" s="243"/>
    </row>
    <row r="869" spans="1:6" ht="13.5" customHeight="1">
      <c r="A869" s="244"/>
      <c r="F869" s="243"/>
    </row>
    <row r="870" spans="1:6" ht="13.5" customHeight="1">
      <c r="A870" s="244"/>
      <c r="F870" s="243"/>
    </row>
    <row r="871" spans="1:6" ht="13.5" customHeight="1">
      <c r="A871" s="244"/>
      <c r="F871" s="243"/>
    </row>
    <row r="872" spans="1:6" ht="13.5" customHeight="1">
      <c r="A872" s="244"/>
      <c r="F872" s="243"/>
    </row>
    <row r="873" spans="1:6" ht="13.5" customHeight="1">
      <c r="A873" s="244"/>
      <c r="F873" s="243"/>
    </row>
    <row r="874" spans="1:6" ht="13.5" customHeight="1">
      <c r="A874" s="244"/>
      <c r="F874" s="243"/>
    </row>
    <row r="875" spans="1:6" ht="13.5" customHeight="1">
      <c r="A875" s="244"/>
      <c r="F875" s="243"/>
    </row>
    <row r="876" spans="1:6" ht="13.5" customHeight="1">
      <c r="A876" s="244"/>
      <c r="F876" s="243"/>
    </row>
    <row r="877" spans="1:6" ht="13.5" customHeight="1">
      <c r="A877" s="244"/>
      <c r="F877" s="243"/>
    </row>
    <row r="878" spans="1:6" ht="13.5" customHeight="1">
      <c r="A878" s="244"/>
      <c r="F878" s="243"/>
    </row>
    <row r="879" spans="1:6" ht="13.5" customHeight="1">
      <c r="A879" s="244"/>
      <c r="F879" s="243"/>
    </row>
    <row r="880" spans="1:6" ht="13.5" customHeight="1">
      <c r="A880" s="244"/>
      <c r="F880" s="243"/>
    </row>
    <row r="881" spans="1:6" ht="13.5" customHeight="1">
      <c r="A881" s="244"/>
      <c r="F881" s="243"/>
    </row>
    <row r="882" spans="1:6" ht="13.5" customHeight="1">
      <c r="A882" s="244"/>
      <c r="F882" s="243"/>
    </row>
    <row r="883" spans="1:6" ht="13.5" customHeight="1">
      <c r="A883" s="244"/>
      <c r="F883" s="243"/>
    </row>
    <row r="884" spans="1:6" ht="13.5" customHeight="1">
      <c r="A884" s="244"/>
      <c r="F884" s="243"/>
    </row>
    <row r="885" spans="1:6" ht="13.5" customHeight="1">
      <c r="A885" s="244"/>
      <c r="F885" s="243"/>
    </row>
    <row r="886" spans="1:6" ht="13.5" customHeight="1">
      <c r="A886" s="244"/>
      <c r="F886" s="243"/>
    </row>
    <row r="887" spans="1:6" ht="13.5" customHeight="1">
      <c r="A887" s="244"/>
      <c r="F887" s="243"/>
    </row>
    <row r="888" spans="1:6" ht="13.5" customHeight="1">
      <c r="A888" s="244"/>
      <c r="F888" s="243"/>
    </row>
    <row r="889" spans="1:6" ht="13.5" customHeight="1">
      <c r="A889" s="244"/>
      <c r="F889" s="243"/>
    </row>
    <row r="890" spans="1:6" ht="13.5" customHeight="1">
      <c r="A890" s="244"/>
      <c r="F890" s="243"/>
    </row>
    <row r="891" spans="1:6" ht="13.5" customHeight="1">
      <c r="A891" s="244"/>
      <c r="F891" s="243"/>
    </row>
    <row r="892" spans="1:6" ht="13.5" customHeight="1">
      <c r="A892" s="244"/>
      <c r="F892" s="243"/>
    </row>
    <row r="893" spans="1:6" ht="13.5" customHeight="1">
      <c r="A893" s="244"/>
      <c r="F893" s="243"/>
    </row>
    <row r="894" spans="1:6" ht="13.5" customHeight="1">
      <c r="A894" s="244"/>
      <c r="F894" s="243"/>
    </row>
    <row r="895" spans="1:6" ht="13.5" customHeight="1">
      <c r="A895" s="244"/>
      <c r="F895" s="243"/>
    </row>
    <row r="896" spans="1:6" ht="13.5" customHeight="1">
      <c r="A896" s="244"/>
      <c r="F896" s="243"/>
    </row>
    <row r="897" spans="1:6" ht="13.5" customHeight="1">
      <c r="A897" s="244"/>
      <c r="F897" s="243"/>
    </row>
    <row r="898" spans="1:6" ht="13.5" customHeight="1">
      <c r="A898" s="244"/>
      <c r="F898" s="243"/>
    </row>
    <row r="899" spans="1:6" ht="13.5" customHeight="1">
      <c r="A899" s="244"/>
      <c r="F899" s="243"/>
    </row>
    <row r="900" spans="1:6" ht="13.5" customHeight="1">
      <c r="A900" s="244"/>
      <c r="F900" s="243"/>
    </row>
    <row r="901" spans="1:6" ht="13.5" customHeight="1">
      <c r="A901" s="244"/>
      <c r="F901" s="243"/>
    </row>
    <row r="902" spans="1:6" ht="13.5" customHeight="1">
      <c r="A902" s="244"/>
      <c r="F902" s="243"/>
    </row>
    <row r="903" spans="1:6" ht="13.5" customHeight="1">
      <c r="A903" s="244"/>
      <c r="F903" s="243"/>
    </row>
    <row r="904" spans="1:6" ht="13.5" customHeight="1">
      <c r="A904" s="244"/>
      <c r="F904" s="243"/>
    </row>
    <row r="905" spans="1:6" ht="13.5" customHeight="1">
      <c r="A905" s="244"/>
      <c r="F905" s="243"/>
    </row>
    <row r="906" spans="1:6" ht="13.5" customHeight="1">
      <c r="A906" s="244"/>
      <c r="F906" s="243"/>
    </row>
    <row r="907" spans="1:6" ht="13.5" customHeight="1">
      <c r="A907" s="244"/>
      <c r="F907" s="243"/>
    </row>
    <row r="908" spans="1:6" ht="13.5" customHeight="1">
      <c r="A908" s="244"/>
      <c r="F908" s="243"/>
    </row>
    <row r="909" spans="1:6" ht="13.5" customHeight="1">
      <c r="A909" s="244"/>
      <c r="F909" s="243"/>
    </row>
    <row r="910" spans="1:6" ht="13.5" customHeight="1">
      <c r="A910" s="244"/>
      <c r="F910" s="243"/>
    </row>
    <row r="911" spans="1:6" ht="13.5" customHeight="1">
      <c r="A911" s="244"/>
      <c r="F911" s="243"/>
    </row>
    <row r="912" spans="1:6" ht="13.5" customHeight="1">
      <c r="A912" s="244"/>
      <c r="F912" s="243"/>
    </row>
    <row r="913" spans="1:6" ht="13.5" customHeight="1">
      <c r="A913" s="244"/>
      <c r="F913" s="243"/>
    </row>
    <row r="914" spans="1:6" ht="13.5" customHeight="1">
      <c r="A914" s="244"/>
      <c r="F914" s="243"/>
    </row>
    <row r="915" spans="1:6" ht="13.5" customHeight="1">
      <c r="A915" s="244"/>
      <c r="F915" s="243"/>
    </row>
    <row r="916" spans="1:6" ht="13.5" customHeight="1">
      <c r="A916" s="244"/>
      <c r="F916" s="243"/>
    </row>
    <row r="917" spans="1:6" ht="13.5" customHeight="1">
      <c r="A917" s="244"/>
      <c r="F917" s="243"/>
    </row>
    <row r="918" spans="1:6" ht="13.5" customHeight="1">
      <c r="A918" s="244"/>
      <c r="F918" s="243"/>
    </row>
    <row r="919" spans="1:6" ht="13.5" customHeight="1">
      <c r="A919" s="244"/>
      <c r="F919" s="243"/>
    </row>
    <row r="920" spans="1:6" ht="13.5" customHeight="1">
      <c r="A920" s="244"/>
      <c r="F920" s="243"/>
    </row>
    <row r="921" spans="1:6" ht="13.5" customHeight="1">
      <c r="A921" s="244"/>
      <c r="F921" s="243"/>
    </row>
    <row r="922" spans="1:6" ht="13.5" customHeight="1">
      <c r="A922" s="244"/>
      <c r="F922" s="243"/>
    </row>
    <row r="923" spans="1:6" ht="13.5" customHeight="1">
      <c r="A923" s="244"/>
      <c r="F923" s="243"/>
    </row>
    <row r="924" spans="1:6" ht="13.5" customHeight="1">
      <c r="A924" s="244"/>
      <c r="F924" s="243"/>
    </row>
    <row r="925" spans="1:6" ht="13.5" customHeight="1">
      <c r="A925" s="244"/>
      <c r="F925" s="243"/>
    </row>
    <row r="926" spans="1:6" ht="13.5" customHeight="1">
      <c r="A926" s="244"/>
      <c r="F926" s="243"/>
    </row>
    <row r="927" spans="1:6" ht="13.5" customHeight="1">
      <c r="A927" s="244"/>
      <c r="F927" s="243"/>
    </row>
    <row r="928" spans="1:6" ht="13.5" customHeight="1">
      <c r="A928" s="244"/>
      <c r="F928" s="243"/>
    </row>
    <row r="929" spans="1:6" ht="13.5" customHeight="1">
      <c r="A929" s="244"/>
      <c r="F929" s="243"/>
    </row>
    <row r="930" spans="1:6" ht="13.5" customHeight="1">
      <c r="A930" s="244"/>
      <c r="F930" s="243"/>
    </row>
    <row r="931" spans="1:6" ht="13.5" customHeight="1">
      <c r="A931" s="244"/>
      <c r="F931" s="243"/>
    </row>
    <row r="932" spans="1:6" ht="13.5" customHeight="1">
      <c r="A932" s="244"/>
      <c r="F932" s="243"/>
    </row>
    <row r="933" spans="1:6" ht="13.5" customHeight="1">
      <c r="A933" s="244"/>
      <c r="F933" s="243"/>
    </row>
    <row r="934" spans="1:6" ht="13.5" customHeight="1">
      <c r="A934" s="244"/>
      <c r="F934" s="243"/>
    </row>
    <row r="935" spans="1:6" ht="13.5" customHeight="1">
      <c r="A935" s="244"/>
      <c r="F935" s="243"/>
    </row>
    <row r="936" spans="1:6" ht="13.5" customHeight="1">
      <c r="A936" s="244"/>
      <c r="F936" s="243"/>
    </row>
    <row r="937" spans="1:6" ht="13.5" customHeight="1">
      <c r="A937" s="244"/>
      <c r="F937" s="243"/>
    </row>
    <row r="938" spans="1:6" ht="13.5" customHeight="1">
      <c r="A938" s="244"/>
      <c r="F938" s="243"/>
    </row>
    <row r="939" spans="1:6" ht="13.5" customHeight="1">
      <c r="A939" s="244"/>
      <c r="F939" s="243"/>
    </row>
    <row r="940" spans="1:6" ht="13.5" customHeight="1">
      <c r="A940" s="244"/>
      <c r="F940" s="243"/>
    </row>
    <row r="941" spans="1:6" ht="13.5" customHeight="1">
      <c r="A941" s="244"/>
      <c r="F941" s="243"/>
    </row>
    <row r="942" spans="1:6" ht="13.5" customHeight="1">
      <c r="A942" s="244"/>
      <c r="F942" s="243"/>
    </row>
    <row r="943" spans="1:6" ht="13.5" customHeight="1">
      <c r="A943" s="244"/>
      <c r="F943" s="243"/>
    </row>
    <row r="944" spans="1:6" ht="13.5" customHeight="1">
      <c r="A944" s="244"/>
      <c r="F944" s="243"/>
    </row>
    <row r="945" spans="1:6" ht="13.5" customHeight="1">
      <c r="A945" s="244"/>
      <c r="F945" s="243"/>
    </row>
    <row r="946" spans="1:6" ht="13.5" customHeight="1">
      <c r="A946" s="244"/>
      <c r="F946" s="243"/>
    </row>
    <row r="947" spans="1:6" ht="13.5" customHeight="1">
      <c r="A947" s="244"/>
      <c r="F947" s="243"/>
    </row>
    <row r="948" spans="1:6" ht="13.5" customHeight="1">
      <c r="A948" s="244"/>
      <c r="F948" s="243"/>
    </row>
    <row r="949" spans="1:6" ht="13.5" customHeight="1">
      <c r="A949" s="244"/>
      <c r="F949" s="243"/>
    </row>
    <row r="950" spans="1:6" ht="13.5" customHeight="1">
      <c r="A950" s="244"/>
      <c r="F950" s="243"/>
    </row>
    <row r="951" spans="1:6" ht="13.5" customHeight="1">
      <c r="A951" s="244"/>
      <c r="F951" s="243"/>
    </row>
    <row r="952" spans="1:6" ht="13.5" customHeight="1">
      <c r="A952" s="244"/>
      <c r="F952" s="243"/>
    </row>
    <row r="953" spans="1:6" ht="13.5" customHeight="1">
      <c r="A953" s="244"/>
      <c r="F953" s="243"/>
    </row>
    <row r="954" spans="1:6" ht="13.5" customHeight="1">
      <c r="A954" s="244"/>
      <c r="F954" s="243"/>
    </row>
    <row r="955" spans="1:6" ht="13.5" customHeight="1">
      <c r="A955" s="244"/>
      <c r="F955" s="243"/>
    </row>
    <row r="956" spans="1:6" ht="13.5" customHeight="1">
      <c r="A956" s="244"/>
      <c r="F956" s="243"/>
    </row>
    <row r="957" spans="1:6" ht="13.5" customHeight="1">
      <c r="A957" s="244"/>
      <c r="F957" s="243"/>
    </row>
    <row r="958" spans="1:6" ht="13.5" customHeight="1">
      <c r="A958" s="244"/>
      <c r="F958" s="243"/>
    </row>
    <row r="959" spans="1:6" ht="13.5" customHeight="1">
      <c r="A959" s="244"/>
      <c r="F959" s="243"/>
    </row>
    <row r="960" spans="1:6" ht="13.5" customHeight="1">
      <c r="A960" s="244"/>
      <c r="F960" s="243"/>
    </row>
    <row r="961" spans="1:6" ht="13.5" customHeight="1">
      <c r="A961" s="244"/>
      <c r="F961" s="243"/>
    </row>
    <row r="962" spans="1:6" ht="13.5" customHeight="1">
      <c r="A962" s="244"/>
      <c r="F962" s="243"/>
    </row>
    <row r="963" spans="1:6" ht="13.5" customHeight="1">
      <c r="A963" s="244"/>
      <c r="F963" s="243"/>
    </row>
    <row r="964" spans="1:6" ht="13.5" customHeight="1">
      <c r="A964" s="244"/>
      <c r="F964" s="243"/>
    </row>
    <row r="965" spans="1:6" ht="13.5" customHeight="1">
      <c r="A965" s="244"/>
      <c r="F965" s="243"/>
    </row>
    <row r="966" spans="1:6" ht="13.5" customHeight="1">
      <c r="A966" s="244"/>
      <c r="F966" s="243"/>
    </row>
    <row r="967" spans="1:6" ht="13.5" customHeight="1">
      <c r="A967" s="244"/>
      <c r="F967" s="243"/>
    </row>
    <row r="968" spans="1:6" ht="13.5" customHeight="1">
      <c r="A968" s="244"/>
      <c r="F968" s="243"/>
    </row>
    <row r="969" spans="1:6" ht="13.5" customHeight="1">
      <c r="A969" s="244"/>
      <c r="F969" s="243"/>
    </row>
    <row r="970" spans="1:6" ht="13.5" customHeight="1">
      <c r="A970" s="244"/>
      <c r="F970" s="243"/>
    </row>
    <row r="971" spans="1:6" ht="13.5" customHeight="1">
      <c r="A971" s="244"/>
      <c r="F971" s="243"/>
    </row>
    <row r="972" spans="1:6" ht="13.5" customHeight="1">
      <c r="A972" s="244"/>
      <c r="F972" s="243"/>
    </row>
    <row r="973" spans="1:6" ht="13.5" customHeight="1">
      <c r="A973" s="244"/>
      <c r="F973" s="243"/>
    </row>
    <row r="974" spans="1:6" ht="13.5" customHeight="1">
      <c r="A974" s="244"/>
      <c r="F974" s="243"/>
    </row>
    <row r="975" spans="1:6" ht="13.5" customHeight="1">
      <c r="A975" s="244"/>
      <c r="F975" s="243"/>
    </row>
    <row r="976" spans="1:6" ht="13.5" customHeight="1">
      <c r="A976" s="244"/>
      <c r="F976" s="243"/>
    </row>
    <row r="977" spans="1:6" ht="13.5" customHeight="1">
      <c r="A977" s="244"/>
      <c r="F977" s="243"/>
    </row>
    <row r="978" spans="1:6" ht="13.5" customHeight="1">
      <c r="A978" s="244"/>
      <c r="F978" s="243"/>
    </row>
    <row r="979" spans="1:6" ht="13.5" customHeight="1">
      <c r="A979" s="244"/>
      <c r="F979" s="243"/>
    </row>
    <row r="980" spans="1:6" ht="13.5" customHeight="1">
      <c r="A980" s="244"/>
      <c r="F980" s="243"/>
    </row>
    <row r="981" spans="1:6" ht="13.5" customHeight="1">
      <c r="A981" s="244"/>
      <c r="F981" s="243"/>
    </row>
    <row r="982" spans="1:6" ht="13.5" customHeight="1">
      <c r="A982" s="244"/>
      <c r="F982" s="243"/>
    </row>
    <row r="983" spans="1:6" ht="13.5" customHeight="1">
      <c r="A983" s="244"/>
      <c r="F983" s="243"/>
    </row>
    <row r="984" spans="1:6" ht="13.5" customHeight="1">
      <c r="A984" s="244"/>
      <c r="F984" s="243"/>
    </row>
    <row r="985" spans="1:6" ht="13.5" customHeight="1">
      <c r="A985" s="244"/>
      <c r="F985" s="243"/>
    </row>
    <row r="986" spans="1:6" ht="13.5" customHeight="1">
      <c r="A986" s="244"/>
      <c r="F986" s="243"/>
    </row>
    <row r="987" spans="1:6" ht="13.5" customHeight="1">
      <c r="A987" s="244"/>
      <c r="F987" s="243"/>
    </row>
    <row r="988" spans="1:6" ht="13.5" customHeight="1">
      <c r="A988" s="244"/>
      <c r="F988" s="243"/>
    </row>
    <row r="989" spans="1:6" ht="13.5" customHeight="1">
      <c r="A989" s="244"/>
      <c r="F989" s="243"/>
    </row>
    <row r="990" spans="1:6" ht="13.5" customHeight="1">
      <c r="A990" s="244"/>
      <c r="F990" s="243"/>
    </row>
    <row r="991" spans="1:6" ht="13.5" customHeight="1">
      <c r="A991" s="244"/>
      <c r="F991" s="243"/>
    </row>
    <row r="992" spans="1:6" ht="13.5" customHeight="1">
      <c r="A992" s="244"/>
      <c r="F992" s="243"/>
    </row>
  </sheetData>
  <mergeCells count="3">
    <mergeCell ref="C5:D5"/>
    <mergeCell ref="A3:I3"/>
    <mergeCell ref="G5:I5"/>
  </mergeCells>
  <printOptions horizontalCentered="1"/>
  <pageMargins left="0.70866141732283472" right="0.70866141732283472" top="0.74803149606299213" bottom="0.74803149606299213" header="0" footer="0"/>
  <pageSetup paperSize="9" scale="64" fitToHeight="0" orientation="portrait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1"/>
  <sheetViews>
    <sheetView workbookViewId="0">
      <selection activeCell="D10" sqref="D10"/>
    </sheetView>
  </sheetViews>
  <sheetFormatPr defaultColWidth="14.42578125" defaultRowHeight="15" customHeight="1"/>
  <cols>
    <col min="1" max="1" width="4.42578125" style="163" bestFit="1" customWidth="1"/>
    <col min="2" max="2" width="22.42578125" style="163" bestFit="1" customWidth="1"/>
    <col min="3" max="3" width="11.85546875" style="163" bestFit="1" customWidth="1"/>
    <col min="4" max="4" width="44.7109375" style="163" bestFit="1" customWidth="1"/>
    <col min="5" max="5" width="34.85546875" style="163" bestFit="1" customWidth="1"/>
    <col min="6" max="16384" width="14.42578125" style="163"/>
  </cols>
  <sheetData>
    <row r="1" spans="1:5" ht="15" customHeight="1">
      <c r="A1" s="526" t="s">
        <v>0</v>
      </c>
      <c r="B1" s="527"/>
      <c r="C1" s="527"/>
      <c r="D1" s="527"/>
      <c r="E1" s="527"/>
    </row>
    <row r="2" spans="1:5" ht="16.5">
      <c r="A2" s="164" t="s">
        <v>1</v>
      </c>
      <c r="B2" s="164" t="s">
        <v>2</v>
      </c>
      <c r="C2" s="164" t="s">
        <v>3</v>
      </c>
      <c r="D2" s="164" t="s">
        <v>945</v>
      </c>
      <c r="E2" s="164" t="s">
        <v>5</v>
      </c>
    </row>
    <row r="3" spans="1:5" ht="16.5">
      <c r="A3" s="2">
        <v>1</v>
      </c>
      <c r="B3" s="2" t="s">
        <v>7</v>
      </c>
      <c r="C3" s="165" t="s">
        <v>4</v>
      </c>
      <c r="D3" s="2" t="str">
        <f>C3&amp;".STT_Tên đội"</f>
        <v>BĐ.M.STT_Tên đội</v>
      </c>
      <c r="E3" s="166" t="s">
        <v>12</v>
      </c>
    </row>
    <row r="4" spans="1:5" ht="16.5">
      <c r="A4" s="2">
        <v>2</v>
      </c>
      <c r="B4" s="2" t="s">
        <v>20</v>
      </c>
      <c r="C4" s="165" t="s">
        <v>6</v>
      </c>
      <c r="D4" s="2" t="str">
        <f>C4&amp;".STT_Tên đội"</f>
        <v>BĐ.F.STT_Tên đội</v>
      </c>
      <c r="E4" s="166" t="s">
        <v>14</v>
      </c>
    </row>
    <row r="5" spans="1:5" ht="16.5">
      <c r="A5" s="2">
        <v>3</v>
      </c>
      <c r="B5" s="2" t="s">
        <v>38</v>
      </c>
      <c r="C5" s="165" t="s">
        <v>39</v>
      </c>
      <c r="D5" s="2" t="str">
        <f>C5&amp;".STT_Tên đội"</f>
        <v>KC.STT_Tên đội</v>
      </c>
      <c r="E5" s="166" t="s">
        <v>51</v>
      </c>
    </row>
    <row r="6" spans="1:5" ht="16.5">
      <c r="A6" s="2">
        <v>4</v>
      </c>
      <c r="B6" s="2" t="s">
        <v>52</v>
      </c>
      <c r="C6" s="165" t="s">
        <v>53</v>
      </c>
      <c r="D6" s="2" t="str">
        <f t="shared" ref="D6:D21" si="0">C6&amp;".STT_Tên đội (Tên VĐV)"</f>
        <v>BB.M.STT_Tên đội (Tên VĐV)</v>
      </c>
      <c r="E6" s="166" t="s">
        <v>73</v>
      </c>
    </row>
    <row r="7" spans="1:5" ht="16.5">
      <c r="A7" s="2">
        <v>5</v>
      </c>
      <c r="B7" s="2" t="s">
        <v>74</v>
      </c>
      <c r="C7" s="165" t="s">
        <v>75</v>
      </c>
      <c r="D7" s="2" t="str">
        <f t="shared" si="0"/>
        <v>BB.F.STT_Tên đội (Tên VĐV)</v>
      </c>
      <c r="E7" s="166" t="s">
        <v>77</v>
      </c>
    </row>
    <row r="8" spans="1:5" ht="16.5">
      <c r="A8" s="2">
        <v>6</v>
      </c>
      <c r="B8" s="2" t="s">
        <v>80</v>
      </c>
      <c r="C8" s="165" t="s">
        <v>83</v>
      </c>
      <c r="D8" s="2" t="str">
        <f t="shared" si="0"/>
        <v>BTD.M40.STT_Tên đội (Tên VĐV)</v>
      </c>
      <c r="E8" s="166" t="s">
        <v>85</v>
      </c>
    </row>
    <row r="9" spans="1:5" ht="16.5">
      <c r="A9" s="2">
        <v>7</v>
      </c>
      <c r="B9" s="2" t="s">
        <v>86</v>
      </c>
      <c r="C9" s="165" t="s">
        <v>88</v>
      </c>
      <c r="D9" s="2" t="str">
        <f t="shared" si="0"/>
        <v>BTD.M80.STT_Tên đội (Tên VĐV)</v>
      </c>
      <c r="E9" s="2"/>
    </row>
    <row r="10" spans="1:5" ht="16.5">
      <c r="A10" s="2">
        <v>8</v>
      </c>
      <c r="B10" s="2" t="s">
        <v>89</v>
      </c>
      <c r="C10" s="165" t="s">
        <v>90</v>
      </c>
      <c r="D10" s="2" t="str">
        <f t="shared" si="0"/>
        <v>BTD.F40.STT_Tên đội (Tên VĐV)</v>
      </c>
      <c r="E10" s="2"/>
    </row>
    <row r="11" spans="1:5" ht="16.5">
      <c r="A11" s="2">
        <v>9</v>
      </c>
      <c r="B11" s="2" t="s">
        <v>91</v>
      </c>
      <c r="C11" s="165" t="s">
        <v>92</v>
      </c>
      <c r="D11" s="2" t="str">
        <f t="shared" si="0"/>
        <v>BE.M40.STT_Tên đội (Tên VĐV)</v>
      </c>
      <c r="E11" s="1" t="s">
        <v>93</v>
      </c>
    </row>
    <row r="12" spans="1:5" ht="16.5">
      <c r="A12" s="2">
        <v>10</v>
      </c>
      <c r="B12" s="2" t="s">
        <v>94</v>
      </c>
      <c r="C12" s="165" t="s">
        <v>96</v>
      </c>
      <c r="D12" s="2" t="str">
        <f t="shared" si="0"/>
        <v>BE.M80.STT_Tên đội (Tên VĐV)</v>
      </c>
      <c r="E12" s="2"/>
    </row>
    <row r="13" spans="1:5" ht="16.5">
      <c r="A13" s="2">
        <v>11</v>
      </c>
      <c r="B13" s="2" t="s">
        <v>97</v>
      </c>
      <c r="C13" s="165" t="s">
        <v>98</v>
      </c>
      <c r="D13" s="2" t="str">
        <f t="shared" si="0"/>
        <v>BE.F40.STT_Tên đội (Tên VĐV)</v>
      </c>
      <c r="E13" s="2"/>
    </row>
    <row r="14" spans="1:5" ht="16.5">
      <c r="A14" s="2">
        <v>12</v>
      </c>
      <c r="B14" s="2" t="s">
        <v>99</v>
      </c>
      <c r="C14" s="165" t="s">
        <v>100</v>
      </c>
      <c r="D14" s="2" t="str">
        <f t="shared" si="0"/>
        <v>CL.2M.STT_Tên đội (Tên VĐV)</v>
      </c>
      <c r="E14" s="2" t="s">
        <v>101</v>
      </c>
    </row>
    <row r="15" spans="1:5" ht="16.5">
      <c r="A15" s="2">
        <v>13</v>
      </c>
      <c r="B15" s="2" t="s">
        <v>103</v>
      </c>
      <c r="C15" s="167" t="s">
        <v>104</v>
      </c>
      <c r="D15" s="2" t="str">
        <f t="shared" si="0"/>
        <v>CL.MF.STT_Tên đội (Tên VĐV)</v>
      </c>
      <c r="E15" s="168" t="s">
        <v>108</v>
      </c>
    </row>
    <row r="16" spans="1:5" ht="16.5">
      <c r="A16" s="2">
        <v>14</v>
      </c>
      <c r="B16" s="2" t="s">
        <v>110</v>
      </c>
      <c r="C16" s="165" t="s">
        <v>112</v>
      </c>
      <c r="D16" s="2" t="str">
        <f t="shared" si="0"/>
        <v>CL.2F.STT_Tên đội (Tên VĐV)</v>
      </c>
      <c r="E16" s="2"/>
    </row>
    <row r="17" spans="1:5" ht="16.5">
      <c r="A17" s="2">
        <v>15</v>
      </c>
      <c r="B17" s="2" t="s">
        <v>115</v>
      </c>
      <c r="C17" s="165" t="s">
        <v>116</v>
      </c>
      <c r="D17" s="2" t="str">
        <f t="shared" si="0"/>
        <v>CL.M.STT_Tên đội (Tên VĐV)</v>
      </c>
      <c r="E17" s="2"/>
    </row>
    <row r="18" spans="1:5" ht="16.5">
      <c r="A18" s="2">
        <v>16</v>
      </c>
      <c r="B18" s="2" t="s">
        <v>118</v>
      </c>
      <c r="C18" s="165" t="s">
        <v>119</v>
      </c>
      <c r="D18" s="2" t="str">
        <f t="shared" si="0"/>
        <v>CL.F.STT_Tên đội (Tên VĐV)</v>
      </c>
      <c r="E18" s="2"/>
    </row>
    <row r="19" spans="1:5" ht="16.5">
      <c r="A19" s="2">
        <v>17</v>
      </c>
      <c r="B19" s="2" t="s">
        <v>120</v>
      </c>
      <c r="C19" s="165" t="s">
        <v>121</v>
      </c>
      <c r="D19" s="2" t="str">
        <f t="shared" si="0"/>
        <v>PK.2M.STT_Tên đội (Tên VĐV)</v>
      </c>
      <c r="E19" s="2"/>
    </row>
    <row r="20" spans="1:5" ht="16.5">
      <c r="A20" s="2">
        <v>18</v>
      </c>
      <c r="B20" s="2" t="s">
        <v>126</v>
      </c>
      <c r="C20" s="165" t="s">
        <v>127</v>
      </c>
      <c r="D20" s="2" t="str">
        <f t="shared" si="0"/>
        <v>PK.MF.STT_Tên đội (Tên VĐV)</v>
      </c>
      <c r="E20" s="168" t="s">
        <v>128</v>
      </c>
    </row>
    <row r="21" spans="1:5" ht="16.5">
      <c r="A21" s="2">
        <v>19</v>
      </c>
      <c r="B21" s="2" t="s">
        <v>130</v>
      </c>
      <c r="C21" s="165" t="s">
        <v>131</v>
      </c>
      <c r="D21" s="2" t="str">
        <f t="shared" si="0"/>
        <v>PK.2F.STT_Tên đội (Tên VĐV)</v>
      </c>
      <c r="E21" s="2"/>
    </row>
  </sheetData>
  <mergeCells count="1">
    <mergeCell ref="A1:E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4"/>
  <sheetViews>
    <sheetView workbookViewId="0">
      <selection activeCell="F8" sqref="F8"/>
    </sheetView>
  </sheetViews>
  <sheetFormatPr defaultColWidth="14.42578125" defaultRowHeight="12.75"/>
  <cols>
    <col min="1" max="1" width="6" style="5" customWidth="1"/>
    <col min="2" max="2" width="17.42578125" style="5" bestFit="1" customWidth="1"/>
    <col min="3" max="3" width="29.85546875" style="5" bestFit="1" customWidth="1"/>
    <col min="4" max="4" width="31.85546875" style="5" bestFit="1" customWidth="1"/>
    <col min="5" max="5" width="29.140625" style="5" hidden="1" customWidth="1"/>
    <col min="6" max="6" width="4.5703125" style="162" customWidth="1"/>
    <col min="7" max="7" width="8.7109375" style="5" customWidth="1"/>
    <col min="8" max="8" width="28.140625" style="5" customWidth="1"/>
    <col min="9" max="9" width="34.7109375" style="5" bestFit="1" customWidth="1"/>
    <col min="10" max="11" width="8.7109375" style="5" customWidth="1"/>
    <col min="12" max="12" width="16" style="5" customWidth="1"/>
    <col min="13" max="23" width="8.7109375" style="5" customWidth="1"/>
    <col min="24" max="16384" width="14.42578125" style="5"/>
  </cols>
  <sheetData>
    <row r="1" spans="1:14">
      <c r="A1" s="5" t="s">
        <v>865</v>
      </c>
    </row>
    <row r="3" spans="1:14" ht="18">
      <c r="A3" s="537" t="s">
        <v>871</v>
      </c>
      <c r="B3" s="538"/>
      <c r="C3" s="538"/>
      <c r="D3" s="538"/>
      <c r="E3" s="5" t="s">
        <v>4</v>
      </c>
    </row>
    <row r="4" spans="1:14" ht="18">
      <c r="H4" s="539"/>
      <c r="I4" s="539"/>
    </row>
    <row r="5" spans="1:14" ht="13.5" thickBot="1">
      <c r="A5" s="6" t="s">
        <v>8</v>
      </c>
    </row>
    <row r="6" spans="1:14">
      <c r="A6" s="528" t="s">
        <v>16</v>
      </c>
      <c r="B6" s="529"/>
      <c r="C6" s="529"/>
      <c r="D6" s="530"/>
      <c r="E6" s="5" t="s">
        <v>12</v>
      </c>
      <c r="H6" s="36" t="s">
        <v>9</v>
      </c>
      <c r="I6" s="37" t="s">
        <v>10</v>
      </c>
      <c r="J6" s="10"/>
      <c r="K6" s="10"/>
      <c r="L6" s="11"/>
    </row>
    <row r="7" spans="1:14">
      <c r="A7" s="15" t="s">
        <v>1</v>
      </c>
      <c r="B7" s="16" t="s">
        <v>23</v>
      </c>
      <c r="C7" s="16" t="s">
        <v>24</v>
      </c>
      <c r="D7" s="17" t="s">
        <v>25</v>
      </c>
      <c r="H7" s="29" t="s">
        <v>12</v>
      </c>
      <c r="I7" s="33" t="s">
        <v>13</v>
      </c>
      <c r="J7" s="10"/>
      <c r="K7" s="10"/>
      <c r="L7" s="11"/>
    </row>
    <row r="8" spans="1:14">
      <c r="A8" s="14">
        <v>1</v>
      </c>
      <c r="B8" s="21" t="s">
        <v>30</v>
      </c>
      <c r="C8" s="21" t="s">
        <v>31</v>
      </c>
      <c r="D8" s="18" t="s">
        <v>32</v>
      </c>
      <c r="H8" s="27" t="s">
        <v>17</v>
      </c>
      <c r="I8" s="34" t="s">
        <v>18</v>
      </c>
      <c r="J8" s="10"/>
      <c r="K8" s="10"/>
      <c r="L8" s="11"/>
    </row>
    <row r="9" spans="1:14">
      <c r="A9" s="12">
        <v>2</v>
      </c>
      <c r="B9" s="22" t="s">
        <v>35</v>
      </c>
      <c r="C9" s="22" t="s">
        <v>36</v>
      </c>
      <c r="D9" s="19" t="s">
        <v>37</v>
      </c>
      <c r="H9" s="27" t="s">
        <v>26</v>
      </c>
      <c r="I9" s="34" t="s">
        <v>27</v>
      </c>
      <c r="J9" s="10"/>
      <c r="K9" s="10"/>
      <c r="L9" s="11"/>
    </row>
    <row r="10" spans="1:14">
      <c r="A10" s="12">
        <v>3</v>
      </c>
      <c r="B10" s="22" t="s">
        <v>45</v>
      </c>
      <c r="C10" s="22" t="s">
        <v>36</v>
      </c>
      <c r="D10" s="19" t="s">
        <v>46</v>
      </c>
      <c r="H10" s="27" t="s">
        <v>33</v>
      </c>
      <c r="I10" s="34" t="s">
        <v>34</v>
      </c>
      <c r="J10" s="10"/>
      <c r="K10" s="10"/>
      <c r="L10" s="11"/>
    </row>
    <row r="11" spans="1:14">
      <c r="A11" s="12">
        <v>4</v>
      </c>
      <c r="B11" s="22" t="s">
        <v>54</v>
      </c>
      <c r="C11" s="22" t="s">
        <v>36</v>
      </c>
      <c r="D11" s="19" t="s">
        <v>55</v>
      </c>
      <c r="H11" s="27" t="s">
        <v>40</v>
      </c>
      <c r="I11" s="34" t="s">
        <v>41</v>
      </c>
      <c r="J11" s="10"/>
      <c r="K11" s="10"/>
      <c r="L11" s="11"/>
    </row>
    <row r="12" spans="1:14">
      <c r="A12" s="12">
        <v>5</v>
      </c>
      <c r="B12" s="22" t="s">
        <v>60</v>
      </c>
      <c r="C12" s="22" t="s">
        <v>36</v>
      </c>
      <c r="D12" s="19" t="s">
        <v>55</v>
      </c>
      <c r="H12" s="27" t="s">
        <v>48</v>
      </c>
      <c r="I12" s="34" t="s">
        <v>49</v>
      </c>
      <c r="J12" s="10"/>
      <c r="K12" s="10"/>
      <c r="L12" s="11"/>
    </row>
    <row r="13" spans="1:14">
      <c r="A13" s="12">
        <v>6</v>
      </c>
      <c r="B13" s="22" t="s">
        <v>65</v>
      </c>
      <c r="C13" s="22" t="s">
        <v>31</v>
      </c>
      <c r="D13" s="19" t="s">
        <v>67</v>
      </c>
      <c r="H13" s="27" t="s">
        <v>56</v>
      </c>
      <c r="I13" s="34" t="s">
        <v>57</v>
      </c>
      <c r="J13" s="10"/>
      <c r="K13" s="10"/>
      <c r="L13" s="11"/>
    </row>
    <row r="14" spans="1:14" ht="13.5" thickBot="1">
      <c r="A14" s="12">
        <v>7</v>
      </c>
      <c r="B14" s="22" t="s">
        <v>70</v>
      </c>
      <c r="C14" s="22" t="s">
        <v>31</v>
      </c>
      <c r="D14" s="19" t="s">
        <v>67</v>
      </c>
      <c r="H14" s="28" t="s">
        <v>63</v>
      </c>
      <c r="I14" s="35" t="s">
        <v>64</v>
      </c>
    </row>
    <row r="15" spans="1:14">
      <c r="A15" s="12">
        <v>8</v>
      </c>
      <c r="B15" s="22" t="s">
        <v>71</v>
      </c>
      <c r="C15" s="22" t="s">
        <v>31</v>
      </c>
      <c r="D15" s="19" t="s">
        <v>59</v>
      </c>
      <c r="J15" s="127"/>
      <c r="K15" s="127"/>
      <c r="L15" s="127"/>
      <c r="M15" s="127"/>
      <c r="N15" s="127"/>
    </row>
    <row r="16" spans="1:14" ht="18.75" thickBot="1">
      <c r="A16" s="12">
        <v>9</v>
      </c>
      <c r="B16" s="22" t="s">
        <v>84</v>
      </c>
      <c r="C16" s="22" t="s">
        <v>31</v>
      </c>
      <c r="D16" s="19" t="s">
        <v>59</v>
      </c>
      <c r="G16" s="544" t="s">
        <v>883</v>
      </c>
      <c r="H16" s="544"/>
      <c r="I16" s="544"/>
      <c r="J16" s="127"/>
      <c r="K16" s="127"/>
      <c r="L16" s="127"/>
      <c r="M16" s="127"/>
      <c r="N16" s="127"/>
    </row>
    <row r="17" spans="1:14">
      <c r="A17" s="12">
        <v>10</v>
      </c>
      <c r="B17" s="22" t="s">
        <v>106</v>
      </c>
      <c r="C17" s="22" t="s">
        <v>107</v>
      </c>
      <c r="D17" s="19" t="s">
        <v>59</v>
      </c>
      <c r="G17" s="31" t="s">
        <v>76</v>
      </c>
      <c r="H17" s="32" t="s">
        <v>78</v>
      </c>
      <c r="I17" s="104" t="s">
        <v>79</v>
      </c>
      <c r="J17" s="127"/>
      <c r="K17" s="127"/>
      <c r="L17" s="127"/>
      <c r="M17" s="127"/>
      <c r="N17" s="127"/>
    </row>
    <row r="18" spans="1:14" ht="13.5" thickBot="1">
      <c r="A18" s="13">
        <v>11</v>
      </c>
      <c r="B18" s="23" t="s">
        <v>113</v>
      </c>
      <c r="C18" s="23" t="s">
        <v>107</v>
      </c>
      <c r="D18" s="20" t="s">
        <v>114</v>
      </c>
      <c r="G18" s="540">
        <v>1</v>
      </c>
      <c r="H18" s="47" t="str">
        <f>H12</f>
        <v xml:space="preserve">BĐ.M.06_Liên quân SMO-HLC-HLR </v>
      </c>
      <c r="I18" s="545"/>
      <c r="J18" s="127"/>
      <c r="K18" s="127"/>
      <c r="L18" s="127"/>
      <c r="M18" s="127"/>
      <c r="N18" s="127"/>
    </row>
    <row r="19" spans="1:14" ht="13.5" thickBot="1">
      <c r="G19" s="541"/>
      <c r="H19" s="48" t="str">
        <f>H13</f>
        <v>BĐ.M.07_Liên quân VTR-NTR</v>
      </c>
      <c r="I19" s="535"/>
      <c r="J19" s="127"/>
      <c r="K19" s="127"/>
      <c r="L19" s="127"/>
      <c r="M19" s="127"/>
      <c r="N19" s="127"/>
    </row>
    <row r="20" spans="1:14">
      <c r="A20" s="528" t="s">
        <v>125</v>
      </c>
      <c r="B20" s="529"/>
      <c r="C20" s="529"/>
      <c r="D20" s="530"/>
      <c r="E20" s="5" t="s">
        <v>17</v>
      </c>
      <c r="G20" s="542">
        <v>2</v>
      </c>
      <c r="H20" s="49" t="str">
        <f>H14</f>
        <v>BĐ.M.08_Liên quân XLA-HNC-HNO</v>
      </c>
      <c r="I20" s="535"/>
      <c r="J20" s="127"/>
      <c r="K20" s="127"/>
      <c r="L20" s="127"/>
      <c r="M20" s="127"/>
      <c r="N20" s="127"/>
    </row>
    <row r="21" spans="1:14">
      <c r="A21" s="15" t="s">
        <v>1</v>
      </c>
      <c r="B21" s="16" t="s">
        <v>23</v>
      </c>
      <c r="C21" s="16" t="s">
        <v>24</v>
      </c>
      <c r="D21" s="17" t="s">
        <v>25</v>
      </c>
      <c r="G21" s="543"/>
      <c r="H21" s="50" t="str">
        <f>H7</f>
        <v>BĐ.M.01_Liên quân PDO-CDO-VRC</v>
      </c>
      <c r="I21" s="535"/>
      <c r="J21" s="127"/>
      <c r="K21" s="127"/>
      <c r="L21" s="127"/>
      <c r="M21" s="127"/>
      <c r="N21" s="127"/>
    </row>
    <row r="22" spans="1:14">
      <c r="A22" s="14">
        <v>1</v>
      </c>
      <c r="B22" s="21" t="s">
        <v>135</v>
      </c>
      <c r="C22" s="21" t="s">
        <v>136</v>
      </c>
      <c r="D22" s="18" t="s">
        <v>137</v>
      </c>
      <c r="G22" s="531">
        <v>3</v>
      </c>
      <c r="H22" s="51" t="str">
        <f>H11</f>
        <v>BĐ.M.05_Liên quân SLA-MCH</v>
      </c>
      <c r="I22" s="535"/>
      <c r="J22" s="127"/>
      <c r="K22" s="127"/>
      <c r="L22" s="127"/>
      <c r="M22" s="127"/>
      <c r="N22" s="127"/>
    </row>
    <row r="23" spans="1:14">
      <c r="A23" s="12">
        <v>2</v>
      </c>
      <c r="B23" s="22" t="s">
        <v>140</v>
      </c>
      <c r="C23" s="22" t="s">
        <v>136</v>
      </c>
      <c r="D23" s="19" t="s">
        <v>141</v>
      </c>
      <c r="G23" s="532"/>
      <c r="H23" s="52" t="str">
        <f>H8</f>
        <v>BĐ.M.02_Cienco5 và DHE</v>
      </c>
      <c r="I23" s="535"/>
      <c r="J23" s="127"/>
      <c r="K23" s="127"/>
      <c r="L23" s="127"/>
      <c r="M23" s="127"/>
      <c r="N23" s="127"/>
    </row>
    <row r="24" spans="1:14">
      <c r="A24" s="12">
        <v>3</v>
      </c>
      <c r="B24" s="22" t="s">
        <v>143</v>
      </c>
      <c r="C24" s="22" t="s">
        <v>136</v>
      </c>
      <c r="D24" s="19" t="s">
        <v>145</v>
      </c>
      <c r="G24" s="533">
        <v>4</v>
      </c>
      <c r="H24" s="53" t="str">
        <f>H9</f>
        <v>BĐ.M.03_CTH</v>
      </c>
      <c r="I24" s="535"/>
      <c r="J24" s="127"/>
      <c r="K24" s="127"/>
      <c r="L24" s="127"/>
      <c r="M24" s="127"/>
      <c r="N24" s="127"/>
    </row>
    <row r="25" spans="1:14" ht="13.5" thickBot="1">
      <c r="A25" s="12">
        <v>4</v>
      </c>
      <c r="B25" s="22" t="s">
        <v>146</v>
      </c>
      <c r="C25" s="22" t="s">
        <v>136</v>
      </c>
      <c r="D25" s="19" t="s">
        <v>147</v>
      </c>
      <c r="G25" s="534"/>
      <c r="H25" s="54" t="str">
        <f>H10</f>
        <v>BĐ.M.04_DNA</v>
      </c>
      <c r="I25" s="536"/>
      <c r="J25" s="127"/>
      <c r="K25" s="127"/>
      <c r="L25" s="127"/>
      <c r="M25" s="127"/>
      <c r="N25" s="127"/>
    </row>
    <row r="26" spans="1:14">
      <c r="A26" s="12">
        <v>5</v>
      </c>
      <c r="B26" s="22" t="s">
        <v>149</v>
      </c>
      <c r="C26" s="22" t="s">
        <v>136</v>
      </c>
      <c r="D26" s="19" t="s">
        <v>869</v>
      </c>
    </row>
    <row r="27" spans="1:14">
      <c r="A27" s="12">
        <v>6</v>
      </c>
      <c r="B27" s="22" t="s">
        <v>152</v>
      </c>
      <c r="C27" s="22" t="s">
        <v>136</v>
      </c>
      <c r="D27" s="19" t="s">
        <v>869</v>
      </c>
    </row>
    <row r="28" spans="1:14">
      <c r="A28" s="12">
        <v>7</v>
      </c>
      <c r="B28" s="22" t="s">
        <v>153</v>
      </c>
      <c r="C28" s="22" t="s">
        <v>136</v>
      </c>
      <c r="D28" s="19" t="s">
        <v>869</v>
      </c>
    </row>
    <row r="29" spans="1:14">
      <c r="A29" s="12">
        <v>8</v>
      </c>
      <c r="B29" s="22" t="s">
        <v>154</v>
      </c>
      <c r="C29" s="22" t="s">
        <v>136</v>
      </c>
      <c r="D29" s="19" t="s">
        <v>869</v>
      </c>
    </row>
    <row r="30" spans="1:14">
      <c r="A30" s="12">
        <v>9</v>
      </c>
      <c r="B30" s="22" t="s">
        <v>156</v>
      </c>
      <c r="C30" s="22" t="s">
        <v>136</v>
      </c>
      <c r="D30" s="19" t="s">
        <v>869</v>
      </c>
    </row>
    <row r="31" spans="1:14">
      <c r="A31" s="12">
        <v>10</v>
      </c>
      <c r="B31" s="22" t="s">
        <v>157</v>
      </c>
      <c r="C31" s="22" t="s">
        <v>136</v>
      </c>
      <c r="D31" s="19" t="s">
        <v>869</v>
      </c>
    </row>
    <row r="32" spans="1:14" ht="13.5" thickBot="1">
      <c r="A32" s="13">
        <v>11</v>
      </c>
      <c r="B32" s="23" t="s">
        <v>158</v>
      </c>
      <c r="C32" s="23" t="s">
        <v>136</v>
      </c>
      <c r="D32" s="20" t="s">
        <v>869</v>
      </c>
    </row>
    <row r="33" spans="1:5" ht="13.5" thickBot="1"/>
    <row r="34" spans="1:5">
      <c r="A34" s="528" t="s">
        <v>159</v>
      </c>
      <c r="B34" s="529"/>
      <c r="C34" s="529"/>
      <c r="D34" s="530"/>
      <c r="E34" s="5" t="s">
        <v>26</v>
      </c>
    </row>
    <row r="35" spans="1:5">
      <c r="A35" s="15" t="s">
        <v>1</v>
      </c>
      <c r="B35" s="16" t="s">
        <v>23</v>
      </c>
      <c r="C35" s="16" t="s">
        <v>24</v>
      </c>
      <c r="D35" s="17" t="s">
        <v>25</v>
      </c>
    </row>
    <row r="36" spans="1:5">
      <c r="A36" s="14">
        <v>1</v>
      </c>
      <c r="B36" s="21" t="s">
        <v>163</v>
      </c>
      <c r="C36" s="21" t="s">
        <v>164</v>
      </c>
      <c r="D36" s="18" t="s">
        <v>165</v>
      </c>
    </row>
    <row r="37" spans="1:5">
      <c r="A37" s="12">
        <v>2</v>
      </c>
      <c r="B37" s="22" t="s">
        <v>167</v>
      </c>
      <c r="C37" s="22" t="s">
        <v>164</v>
      </c>
      <c r="D37" s="19" t="s">
        <v>168</v>
      </c>
    </row>
    <row r="38" spans="1:5">
      <c r="A38" s="12">
        <v>3</v>
      </c>
      <c r="B38" s="22" t="s">
        <v>169</v>
      </c>
      <c r="C38" s="22" t="s">
        <v>164</v>
      </c>
      <c r="D38" s="19" t="s">
        <v>170</v>
      </c>
    </row>
    <row r="39" spans="1:5">
      <c r="A39" s="12">
        <v>4</v>
      </c>
      <c r="B39" s="22" t="s">
        <v>171</v>
      </c>
      <c r="C39" s="22" t="s">
        <v>164</v>
      </c>
      <c r="D39" s="19" t="s">
        <v>170</v>
      </c>
    </row>
    <row r="40" spans="1:5">
      <c r="A40" s="12">
        <v>5</v>
      </c>
      <c r="B40" s="22" t="s">
        <v>173</v>
      </c>
      <c r="C40" s="22" t="s">
        <v>164</v>
      </c>
      <c r="D40" s="19" t="s">
        <v>55</v>
      </c>
    </row>
    <row r="41" spans="1:5">
      <c r="A41" s="12">
        <v>6</v>
      </c>
      <c r="B41" s="22" t="s">
        <v>174</v>
      </c>
      <c r="C41" s="22" t="s">
        <v>164</v>
      </c>
      <c r="D41" s="19" t="s">
        <v>55</v>
      </c>
    </row>
    <row r="42" spans="1:5">
      <c r="A42" s="12">
        <v>7</v>
      </c>
      <c r="B42" s="22" t="s">
        <v>177</v>
      </c>
      <c r="C42" s="22" t="s">
        <v>164</v>
      </c>
      <c r="D42" s="19" t="s">
        <v>178</v>
      </c>
    </row>
    <row r="43" spans="1:5">
      <c r="A43" s="12">
        <v>8</v>
      </c>
      <c r="B43" s="22" t="s">
        <v>180</v>
      </c>
      <c r="C43" s="22" t="s">
        <v>164</v>
      </c>
      <c r="D43" s="19" t="s">
        <v>181</v>
      </c>
    </row>
    <row r="44" spans="1:5">
      <c r="A44" s="12">
        <v>9</v>
      </c>
      <c r="B44" s="22" t="s">
        <v>183</v>
      </c>
      <c r="C44" s="22" t="s">
        <v>164</v>
      </c>
      <c r="D44" s="19" t="s">
        <v>184</v>
      </c>
    </row>
    <row r="45" spans="1:5">
      <c r="A45" s="12">
        <v>10</v>
      </c>
      <c r="B45" s="22" t="s">
        <v>186</v>
      </c>
      <c r="C45" s="22" t="s">
        <v>164</v>
      </c>
      <c r="D45" s="19" t="s">
        <v>187</v>
      </c>
    </row>
    <row r="46" spans="1:5" ht="13.5" thickBot="1">
      <c r="A46" s="13">
        <v>11</v>
      </c>
      <c r="B46" s="23" t="s">
        <v>188</v>
      </c>
      <c r="C46" s="23" t="s">
        <v>164</v>
      </c>
      <c r="D46" s="20" t="s">
        <v>189</v>
      </c>
    </row>
    <row r="47" spans="1:5" ht="13.5" thickBot="1"/>
    <row r="48" spans="1:5">
      <c r="A48" s="528" t="s">
        <v>190</v>
      </c>
      <c r="B48" s="529"/>
      <c r="C48" s="529"/>
      <c r="D48" s="530"/>
      <c r="E48" s="5" t="s">
        <v>33</v>
      </c>
    </row>
    <row r="49" spans="1:5">
      <c r="A49" s="15" t="s">
        <v>1</v>
      </c>
      <c r="B49" s="16" t="s">
        <v>23</v>
      </c>
      <c r="C49" s="16" t="s">
        <v>24</v>
      </c>
      <c r="D49" s="17" t="s">
        <v>25</v>
      </c>
    </row>
    <row r="50" spans="1:5">
      <c r="A50" s="14">
        <v>1</v>
      </c>
      <c r="B50" s="21" t="s">
        <v>193</v>
      </c>
      <c r="C50" s="21" t="s">
        <v>194</v>
      </c>
      <c r="D50" s="18" t="s">
        <v>195</v>
      </c>
    </row>
    <row r="51" spans="1:5">
      <c r="A51" s="12">
        <v>2</v>
      </c>
      <c r="B51" s="22" t="s">
        <v>196</v>
      </c>
      <c r="C51" s="22" t="s">
        <v>194</v>
      </c>
      <c r="D51" s="19" t="s">
        <v>197</v>
      </c>
    </row>
    <row r="52" spans="1:5">
      <c r="A52" s="12">
        <v>3</v>
      </c>
      <c r="B52" s="22" t="s">
        <v>199</v>
      </c>
      <c r="C52" s="22" t="s">
        <v>194</v>
      </c>
      <c r="D52" s="19" t="s">
        <v>200</v>
      </c>
    </row>
    <row r="53" spans="1:5">
      <c r="A53" s="12">
        <v>4</v>
      </c>
      <c r="B53" s="22" t="s">
        <v>201</v>
      </c>
      <c r="C53" s="22" t="s">
        <v>194</v>
      </c>
      <c r="D53" s="19" t="s">
        <v>870</v>
      </c>
    </row>
    <row r="54" spans="1:5">
      <c r="A54" s="12">
        <v>5</v>
      </c>
      <c r="B54" s="22" t="s">
        <v>203</v>
      </c>
      <c r="C54" s="22" t="s">
        <v>194</v>
      </c>
      <c r="D54" s="19" t="s">
        <v>197</v>
      </c>
    </row>
    <row r="55" spans="1:5">
      <c r="A55" s="12">
        <v>6</v>
      </c>
      <c r="B55" s="22" t="s">
        <v>204</v>
      </c>
      <c r="C55" s="22" t="s">
        <v>194</v>
      </c>
      <c r="D55" s="19" t="s">
        <v>46</v>
      </c>
    </row>
    <row r="56" spans="1:5">
      <c r="A56" s="12">
        <v>7</v>
      </c>
      <c r="B56" s="22" t="s">
        <v>205</v>
      </c>
      <c r="C56" s="22" t="s">
        <v>194</v>
      </c>
      <c r="D56" s="19" t="s">
        <v>184</v>
      </c>
    </row>
    <row r="57" spans="1:5">
      <c r="A57" s="12">
        <v>8</v>
      </c>
      <c r="B57" s="22" t="s">
        <v>206</v>
      </c>
      <c r="C57" s="22" t="s">
        <v>194</v>
      </c>
      <c r="D57" s="19" t="s">
        <v>207</v>
      </c>
    </row>
    <row r="58" spans="1:5">
      <c r="A58" s="12">
        <v>9</v>
      </c>
      <c r="B58" s="22" t="s">
        <v>209</v>
      </c>
      <c r="C58" s="22" t="s">
        <v>194</v>
      </c>
      <c r="D58" s="19" t="s">
        <v>210</v>
      </c>
    </row>
    <row r="59" spans="1:5">
      <c r="A59" s="12">
        <v>10</v>
      </c>
      <c r="B59" s="22" t="s">
        <v>211</v>
      </c>
      <c r="C59" s="22" t="s">
        <v>194</v>
      </c>
      <c r="D59" s="19" t="s">
        <v>46</v>
      </c>
    </row>
    <row r="60" spans="1:5" ht="13.5" thickBot="1">
      <c r="A60" s="13">
        <v>11</v>
      </c>
      <c r="B60" s="23" t="s">
        <v>212</v>
      </c>
      <c r="C60" s="23" t="s">
        <v>194</v>
      </c>
      <c r="D60" s="20" t="s">
        <v>213</v>
      </c>
    </row>
    <row r="61" spans="1:5" ht="13.5" thickBot="1"/>
    <row r="62" spans="1:5">
      <c r="A62" s="528" t="s">
        <v>217</v>
      </c>
      <c r="B62" s="529"/>
      <c r="C62" s="529"/>
      <c r="D62" s="530"/>
      <c r="E62" s="5" t="s">
        <v>40</v>
      </c>
    </row>
    <row r="63" spans="1:5">
      <c r="A63" s="15" t="s">
        <v>1</v>
      </c>
      <c r="B63" s="16" t="s">
        <v>23</v>
      </c>
      <c r="C63" s="16" t="s">
        <v>24</v>
      </c>
      <c r="D63" s="17" t="s">
        <v>25</v>
      </c>
    </row>
    <row r="64" spans="1:5">
      <c r="A64" s="14">
        <v>1</v>
      </c>
      <c r="B64" s="21" t="s">
        <v>223</v>
      </c>
      <c r="C64" s="21" t="s">
        <v>224</v>
      </c>
      <c r="D64" s="18" t="s">
        <v>55</v>
      </c>
    </row>
    <row r="65" spans="1:5">
      <c r="A65" s="12">
        <v>2</v>
      </c>
      <c r="B65" s="22" t="s">
        <v>225</v>
      </c>
      <c r="C65" s="22" t="s">
        <v>224</v>
      </c>
      <c r="D65" s="19" t="s">
        <v>226</v>
      </c>
    </row>
    <row r="66" spans="1:5">
      <c r="A66" s="12">
        <v>3</v>
      </c>
      <c r="B66" s="22" t="s">
        <v>229</v>
      </c>
      <c r="C66" s="22" t="s">
        <v>224</v>
      </c>
      <c r="D66" s="19" t="s">
        <v>181</v>
      </c>
    </row>
    <row r="67" spans="1:5">
      <c r="A67" s="12">
        <v>4</v>
      </c>
      <c r="B67" s="22" t="s">
        <v>232</v>
      </c>
      <c r="C67" s="22" t="s">
        <v>233</v>
      </c>
      <c r="D67" s="19" t="s">
        <v>234</v>
      </c>
    </row>
    <row r="68" spans="1:5">
      <c r="A68" s="12">
        <v>5</v>
      </c>
      <c r="B68" s="22" t="s">
        <v>235</v>
      </c>
      <c r="C68" s="22" t="s">
        <v>233</v>
      </c>
      <c r="D68" s="19" t="s">
        <v>55</v>
      </c>
    </row>
    <row r="69" spans="1:5">
      <c r="A69" s="12">
        <v>6</v>
      </c>
      <c r="B69" s="22" t="s">
        <v>237</v>
      </c>
      <c r="C69" s="22" t="s">
        <v>233</v>
      </c>
      <c r="D69" s="19" t="s">
        <v>178</v>
      </c>
    </row>
    <row r="70" spans="1:5">
      <c r="A70" s="12">
        <v>7</v>
      </c>
      <c r="B70" s="22" t="s">
        <v>240</v>
      </c>
      <c r="C70" s="22" t="s">
        <v>233</v>
      </c>
      <c r="D70" s="19" t="s">
        <v>55</v>
      </c>
    </row>
    <row r="71" spans="1:5">
      <c r="A71" s="12">
        <v>8</v>
      </c>
      <c r="B71" s="22" t="s">
        <v>242</v>
      </c>
      <c r="C71" s="22" t="s">
        <v>233</v>
      </c>
      <c r="D71" s="19" t="s">
        <v>213</v>
      </c>
    </row>
    <row r="72" spans="1:5">
      <c r="A72" s="12">
        <v>9</v>
      </c>
      <c r="B72" s="22" t="s">
        <v>243</v>
      </c>
      <c r="C72" s="22" t="s">
        <v>233</v>
      </c>
      <c r="D72" s="19" t="s">
        <v>207</v>
      </c>
    </row>
    <row r="73" spans="1:5">
      <c r="A73" s="12">
        <v>10</v>
      </c>
      <c r="B73" s="22" t="s">
        <v>246</v>
      </c>
      <c r="C73" s="22" t="s">
        <v>233</v>
      </c>
      <c r="D73" s="19" t="s">
        <v>200</v>
      </c>
    </row>
    <row r="74" spans="1:5" ht="13.5" thickBot="1">
      <c r="A74" s="13">
        <v>11</v>
      </c>
      <c r="B74" s="23" t="s">
        <v>249</v>
      </c>
      <c r="C74" s="23" t="s">
        <v>233</v>
      </c>
      <c r="D74" s="20" t="s">
        <v>210</v>
      </c>
    </row>
    <row r="75" spans="1:5" ht="13.5" thickBot="1"/>
    <row r="76" spans="1:5">
      <c r="A76" s="528" t="s">
        <v>250</v>
      </c>
      <c r="B76" s="529"/>
      <c r="C76" s="529"/>
      <c r="D76" s="530"/>
      <c r="E76" s="5" t="s">
        <v>48</v>
      </c>
    </row>
    <row r="77" spans="1:5">
      <c r="A77" s="15" t="s">
        <v>1</v>
      </c>
      <c r="B77" s="16" t="s">
        <v>23</v>
      </c>
      <c r="C77" s="16" t="s">
        <v>24</v>
      </c>
      <c r="D77" s="17" t="s">
        <v>25</v>
      </c>
    </row>
    <row r="78" spans="1:5">
      <c r="A78" s="14">
        <v>1</v>
      </c>
      <c r="B78" s="21" t="s">
        <v>252</v>
      </c>
      <c r="C78" s="21" t="s">
        <v>253</v>
      </c>
      <c r="D78" s="18" t="s">
        <v>67</v>
      </c>
    </row>
    <row r="79" spans="1:5">
      <c r="A79" s="12">
        <v>2</v>
      </c>
      <c r="B79" s="22" t="s">
        <v>254</v>
      </c>
      <c r="C79" s="22" t="s">
        <v>253</v>
      </c>
      <c r="D79" s="19" t="s">
        <v>59</v>
      </c>
    </row>
    <row r="80" spans="1:5">
      <c r="A80" s="12">
        <v>3</v>
      </c>
      <c r="B80" s="22" t="s">
        <v>255</v>
      </c>
      <c r="C80" s="22" t="s">
        <v>256</v>
      </c>
      <c r="D80" s="19" t="s">
        <v>44</v>
      </c>
    </row>
    <row r="81" spans="1:5">
      <c r="A81" s="12">
        <v>4</v>
      </c>
      <c r="B81" s="22" t="s">
        <v>259</v>
      </c>
      <c r="C81" s="22" t="s">
        <v>256</v>
      </c>
      <c r="D81" s="19" t="s">
        <v>260</v>
      </c>
    </row>
    <row r="82" spans="1:5">
      <c r="A82" s="12">
        <v>5</v>
      </c>
      <c r="B82" s="22" t="s">
        <v>261</v>
      </c>
      <c r="C82" s="22" t="s">
        <v>256</v>
      </c>
      <c r="D82" s="19" t="s">
        <v>46</v>
      </c>
    </row>
    <row r="83" spans="1:5">
      <c r="A83" s="12">
        <v>6</v>
      </c>
      <c r="B83" s="22" t="s">
        <v>264</v>
      </c>
      <c r="C83" s="22" t="s">
        <v>256</v>
      </c>
      <c r="D83" s="19" t="s">
        <v>195</v>
      </c>
    </row>
    <row r="84" spans="1:5">
      <c r="A84" s="12">
        <v>7</v>
      </c>
      <c r="B84" s="22" t="s">
        <v>267</v>
      </c>
      <c r="C84" s="22" t="s">
        <v>256</v>
      </c>
      <c r="D84" s="19" t="s">
        <v>195</v>
      </c>
    </row>
    <row r="85" spans="1:5">
      <c r="A85" s="12">
        <v>8</v>
      </c>
      <c r="B85" s="22" t="s">
        <v>268</v>
      </c>
      <c r="C85" s="22" t="s">
        <v>256</v>
      </c>
      <c r="D85" s="19" t="s">
        <v>270</v>
      </c>
    </row>
    <row r="86" spans="1:5">
      <c r="A86" s="12">
        <v>9</v>
      </c>
      <c r="B86" s="22" t="s">
        <v>271</v>
      </c>
      <c r="C86" s="22" t="s">
        <v>272</v>
      </c>
      <c r="D86" s="19" t="s">
        <v>870</v>
      </c>
    </row>
    <row r="87" spans="1:5">
      <c r="A87" s="12">
        <v>10</v>
      </c>
      <c r="B87" s="22" t="s">
        <v>274</v>
      </c>
      <c r="C87" s="22" t="s">
        <v>272</v>
      </c>
      <c r="D87" s="19" t="s">
        <v>207</v>
      </c>
    </row>
    <row r="88" spans="1:5" ht="13.5" thickBot="1">
      <c r="A88" s="13">
        <v>11</v>
      </c>
      <c r="B88" s="23" t="s">
        <v>277</v>
      </c>
      <c r="C88" s="23" t="s">
        <v>272</v>
      </c>
      <c r="D88" s="20" t="s">
        <v>55</v>
      </c>
    </row>
    <row r="89" spans="1:5" ht="13.5" thickBot="1"/>
    <row r="90" spans="1:5">
      <c r="A90" s="528" t="s">
        <v>279</v>
      </c>
      <c r="B90" s="529"/>
      <c r="C90" s="529"/>
      <c r="D90" s="530"/>
      <c r="E90" s="5" t="s">
        <v>56</v>
      </c>
    </row>
    <row r="91" spans="1:5">
      <c r="A91" s="15" t="s">
        <v>1</v>
      </c>
      <c r="B91" s="16" t="s">
        <v>23</v>
      </c>
      <c r="C91" s="16" t="s">
        <v>24</v>
      </c>
      <c r="D91" s="17" t="s">
        <v>25</v>
      </c>
    </row>
    <row r="92" spans="1:5">
      <c r="A92" s="14">
        <v>1</v>
      </c>
      <c r="B92" s="21" t="s">
        <v>285</v>
      </c>
      <c r="C92" s="21" t="s">
        <v>286</v>
      </c>
      <c r="D92" s="18" t="s">
        <v>200</v>
      </c>
    </row>
    <row r="93" spans="1:5">
      <c r="A93" s="12">
        <v>2</v>
      </c>
      <c r="B93" s="22" t="s">
        <v>288</v>
      </c>
      <c r="C93" s="22" t="s">
        <v>286</v>
      </c>
      <c r="D93" s="19" t="s">
        <v>55</v>
      </c>
    </row>
    <row r="94" spans="1:5">
      <c r="A94" s="12">
        <v>3</v>
      </c>
      <c r="B94" s="22" t="s">
        <v>291</v>
      </c>
      <c r="C94" s="22" t="s">
        <v>292</v>
      </c>
      <c r="D94" s="19" t="s">
        <v>165</v>
      </c>
    </row>
    <row r="95" spans="1:5">
      <c r="A95" s="12">
        <v>4</v>
      </c>
      <c r="B95" s="22" t="s">
        <v>295</v>
      </c>
      <c r="C95" s="22" t="s">
        <v>292</v>
      </c>
      <c r="D95" s="19" t="s">
        <v>178</v>
      </c>
    </row>
    <row r="96" spans="1:5">
      <c r="A96" s="12">
        <v>5</v>
      </c>
      <c r="B96" s="22" t="s">
        <v>296</v>
      </c>
      <c r="C96" s="22" t="s">
        <v>286</v>
      </c>
      <c r="D96" s="19" t="s">
        <v>55</v>
      </c>
    </row>
    <row r="97" spans="1:5">
      <c r="A97" s="12">
        <v>6</v>
      </c>
      <c r="B97" s="22" t="s">
        <v>303</v>
      </c>
      <c r="C97" s="22" t="s">
        <v>286</v>
      </c>
      <c r="D97" s="19" t="s">
        <v>304</v>
      </c>
    </row>
    <row r="98" spans="1:5">
      <c r="A98" s="12">
        <v>7</v>
      </c>
      <c r="B98" s="22" t="s">
        <v>308</v>
      </c>
      <c r="C98" s="22" t="s">
        <v>286</v>
      </c>
      <c r="D98" s="19" t="s">
        <v>311</v>
      </c>
    </row>
    <row r="99" spans="1:5">
      <c r="A99" s="12">
        <v>8</v>
      </c>
      <c r="B99" s="22" t="s">
        <v>314</v>
      </c>
      <c r="C99" s="22" t="s">
        <v>286</v>
      </c>
      <c r="D99" s="19" t="s">
        <v>210</v>
      </c>
    </row>
    <row r="100" spans="1:5">
      <c r="A100" s="12">
        <v>9</v>
      </c>
      <c r="B100" s="22" t="s">
        <v>319</v>
      </c>
      <c r="C100" s="22" t="s">
        <v>286</v>
      </c>
      <c r="D100" s="19" t="s">
        <v>231</v>
      </c>
    </row>
    <row r="101" spans="1:5">
      <c r="A101" s="12">
        <v>10</v>
      </c>
      <c r="B101" s="22" t="s">
        <v>324</v>
      </c>
      <c r="C101" s="22" t="s">
        <v>286</v>
      </c>
      <c r="D101" s="19" t="s">
        <v>178</v>
      </c>
    </row>
    <row r="102" spans="1:5" ht="13.5" thickBot="1">
      <c r="A102" s="13">
        <v>11</v>
      </c>
      <c r="B102" s="23" t="s">
        <v>325</v>
      </c>
      <c r="C102" s="23" t="s">
        <v>286</v>
      </c>
      <c r="D102" s="20" t="s">
        <v>144</v>
      </c>
    </row>
    <row r="103" spans="1:5" ht="13.5" thickBot="1"/>
    <row r="104" spans="1:5">
      <c r="A104" s="528" t="s">
        <v>333</v>
      </c>
      <c r="B104" s="529"/>
      <c r="C104" s="529"/>
      <c r="D104" s="530"/>
      <c r="E104" s="5" t="s">
        <v>63</v>
      </c>
    </row>
    <row r="105" spans="1:5">
      <c r="A105" s="15" t="s">
        <v>1</v>
      </c>
      <c r="B105" s="16" t="s">
        <v>23</v>
      </c>
      <c r="C105" s="16" t="s">
        <v>24</v>
      </c>
      <c r="D105" s="17" t="s">
        <v>25</v>
      </c>
    </row>
    <row r="106" spans="1:5">
      <c r="A106" s="14">
        <v>1</v>
      </c>
      <c r="B106" s="21" t="s">
        <v>338</v>
      </c>
      <c r="C106" s="21" t="s">
        <v>339</v>
      </c>
      <c r="D106" s="18" t="s">
        <v>197</v>
      </c>
    </row>
    <row r="107" spans="1:5">
      <c r="A107" s="12">
        <v>2</v>
      </c>
      <c r="B107" s="22" t="s">
        <v>341</v>
      </c>
      <c r="C107" s="22" t="s">
        <v>339</v>
      </c>
      <c r="D107" s="19" t="s">
        <v>342</v>
      </c>
    </row>
    <row r="108" spans="1:5">
      <c r="A108" s="12">
        <v>3</v>
      </c>
      <c r="B108" s="22" t="s">
        <v>345</v>
      </c>
      <c r="C108" s="22" t="s">
        <v>339</v>
      </c>
      <c r="D108" s="19" t="s">
        <v>346</v>
      </c>
    </row>
    <row r="109" spans="1:5">
      <c r="A109" s="12">
        <v>4</v>
      </c>
      <c r="B109" s="22" t="s">
        <v>348</v>
      </c>
      <c r="C109" s="22" t="s">
        <v>339</v>
      </c>
      <c r="D109" s="19" t="s">
        <v>349</v>
      </c>
    </row>
    <row r="110" spans="1:5">
      <c r="A110" s="12">
        <v>5</v>
      </c>
      <c r="B110" s="22" t="s">
        <v>350</v>
      </c>
      <c r="C110" s="22" t="s">
        <v>351</v>
      </c>
      <c r="D110" s="19" t="s">
        <v>165</v>
      </c>
    </row>
    <row r="111" spans="1:5">
      <c r="A111" s="12">
        <v>6</v>
      </c>
      <c r="B111" s="22" t="s">
        <v>352</v>
      </c>
      <c r="C111" s="22" t="s">
        <v>351</v>
      </c>
      <c r="D111" s="19" t="s">
        <v>870</v>
      </c>
    </row>
    <row r="112" spans="1:5">
      <c r="A112" s="12">
        <v>7</v>
      </c>
      <c r="B112" s="22" t="s">
        <v>354</v>
      </c>
      <c r="C112" s="22" t="s">
        <v>351</v>
      </c>
      <c r="D112" s="19" t="s">
        <v>355</v>
      </c>
    </row>
    <row r="113" spans="1:4">
      <c r="A113" s="12">
        <v>8</v>
      </c>
      <c r="B113" s="22" t="s">
        <v>359</v>
      </c>
      <c r="C113" s="22" t="s">
        <v>360</v>
      </c>
      <c r="D113" s="19" t="s">
        <v>210</v>
      </c>
    </row>
    <row r="114" spans="1:4" ht="13.5" thickBot="1">
      <c r="A114" s="24">
        <v>9</v>
      </c>
      <c r="B114" s="25" t="s">
        <v>361</v>
      </c>
      <c r="C114" s="25" t="s">
        <v>360</v>
      </c>
      <c r="D114" s="26" t="s">
        <v>362</v>
      </c>
    </row>
  </sheetData>
  <mergeCells count="19">
    <mergeCell ref="G22:G23"/>
    <mergeCell ref="G24:G25"/>
    <mergeCell ref="I22:I23"/>
    <mergeCell ref="I24:I25"/>
    <mergeCell ref="A3:D3"/>
    <mergeCell ref="A6:D6"/>
    <mergeCell ref="A20:D20"/>
    <mergeCell ref="H4:I4"/>
    <mergeCell ref="G18:G19"/>
    <mergeCell ref="G20:G21"/>
    <mergeCell ref="G16:I16"/>
    <mergeCell ref="I18:I19"/>
    <mergeCell ref="I20:I21"/>
    <mergeCell ref="A76:D76"/>
    <mergeCell ref="A90:D90"/>
    <mergeCell ref="A104:D104"/>
    <mergeCell ref="A34:D34"/>
    <mergeCell ref="A48:D48"/>
    <mergeCell ref="A62:D62"/>
  </mergeCell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6"/>
  <sheetViews>
    <sheetView workbookViewId="0">
      <selection activeCell="G8" sqref="G8"/>
    </sheetView>
  </sheetViews>
  <sheetFormatPr defaultColWidth="14.42578125" defaultRowHeight="12.75"/>
  <cols>
    <col min="1" max="1" width="6" style="5" customWidth="1"/>
    <col min="2" max="2" width="18.42578125" style="5" bestFit="1" customWidth="1"/>
    <col min="3" max="3" width="27.140625" style="5" bestFit="1" customWidth="1"/>
    <col min="4" max="4" width="28.28515625" style="5" bestFit="1" customWidth="1"/>
    <col min="5" max="5" width="24.85546875" style="5" hidden="1" customWidth="1"/>
    <col min="6" max="6" width="3.85546875" style="5" customWidth="1"/>
    <col min="7" max="7" width="22.7109375" style="5" bestFit="1" customWidth="1"/>
    <col min="8" max="8" width="27.28515625" style="5" bestFit="1" customWidth="1"/>
    <col min="9" max="9" width="16.85546875" style="5" customWidth="1"/>
    <col min="10" max="10" width="22.7109375" style="5" bestFit="1" customWidth="1"/>
    <col min="11" max="22" width="8.7109375" style="5" customWidth="1"/>
    <col min="23" max="16384" width="14.42578125" style="5"/>
  </cols>
  <sheetData>
    <row r="1" spans="1:11">
      <c r="A1" s="5" t="s">
        <v>865</v>
      </c>
    </row>
    <row r="3" spans="1:11" ht="18">
      <c r="A3" s="537" t="s">
        <v>872</v>
      </c>
      <c r="B3" s="538"/>
      <c r="C3" s="538"/>
      <c r="D3" s="538"/>
      <c r="E3" s="5" t="s">
        <v>6</v>
      </c>
    </row>
    <row r="5" spans="1:11" ht="13.5" thickBot="1">
      <c r="A5" s="6" t="s">
        <v>11</v>
      </c>
    </row>
    <row r="6" spans="1:11">
      <c r="A6" s="528" t="s">
        <v>19</v>
      </c>
      <c r="B6" s="529"/>
      <c r="C6" s="529"/>
      <c r="D6" s="530"/>
      <c r="E6" s="5" t="s">
        <v>14</v>
      </c>
      <c r="G6" s="36" t="s">
        <v>9</v>
      </c>
      <c r="H6" s="37" t="s">
        <v>10</v>
      </c>
      <c r="I6" s="7"/>
      <c r="J6" s="7"/>
      <c r="K6" s="7"/>
    </row>
    <row r="7" spans="1:11">
      <c r="A7" s="15" t="s">
        <v>1</v>
      </c>
      <c r="B7" s="16" t="s">
        <v>23</v>
      </c>
      <c r="C7" s="16" t="s">
        <v>24</v>
      </c>
      <c r="D7" s="17" t="s">
        <v>25</v>
      </c>
      <c r="G7" s="29" t="s">
        <v>14</v>
      </c>
      <c r="H7" s="33" t="s">
        <v>15</v>
      </c>
      <c r="I7" s="7"/>
      <c r="J7" s="7"/>
      <c r="K7" s="7"/>
    </row>
    <row r="8" spans="1:11">
      <c r="A8" s="14">
        <v>1</v>
      </c>
      <c r="B8" s="21" t="s">
        <v>42</v>
      </c>
      <c r="C8" s="21" t="s">
        <v>43</v>
      </c>
      <c r="D8" s="18" t="s">
        <v>44</v>
      </c>
      <c r="G8" s="27" t="s">
        <v>21</v>
      </c>
      <c r="H8" s="34" t="s">
        <v>22</v>
      </c>
      <c r="I8" s="7"/>
      <c r="J8" s="7"/>
      <c r="K8" s="7"/>
    </row>
    <row r="9" spans="1:11">
      <c r="A9" s="12">
        <v>2</v>
      </c>
      <c r="B9" s="22" t="s">
        <v>58</v>
      </c>
      <c r="C9" s="22" t="s">
        <v>43</v>
      </c>
      <c r="D9" s="19" t="s">
        <v>59</v>
      </c>
      <c r="G9" s="27" t="s">
        <v>28</v>
      </c>
      <c r="H9" s="34" t="s">
        <v>29</v>
      </c>
      <c r="I9" s="7"/>
      <c r="J9" s="7"/>
      <c r="K9" s="7"/>
    </row>
    <row r="10" spans="1:11">
      <c r="A10" s="12">
        <v>3</v>
      </c>
      <c r="B10" s="22" t="s">
        <v>66</v>
      </c>
      <c r="C10" s="22" t="s">
        <v>43</v>
      </c>
      <c r="D10" s="19" t="s">
        <v>59</v>
      </c>
      <c r="G10" s="27" t="s">
        <v>47</v>
      </c>
      <c r="H10" s="34" t="s">
        <v>50</v>
      </c>
      <c r="I10" s="7"/>
      <c r="J10" s="7"/>
      <c r="K10" s="7"/>
    </row>
    <row r="11" spans="1:11">
      <c r="A11" s="12">
        <v>4</v>
      </c>
      <c r="B11" s="22" t="s">
        <v>72</v>
      </c>
      <c r="C11" s="22" t="s">
        <v>43</v>
      </c>
      <c r="D11" s="19" t="s">
        <v>67</v>
      </c>
      <c r="G11" s="27" t="s">
        <v>61</v>
      </c>
      <c r="H11" s="34" t="s">
        <v>62</v>
      </c>
    </row>
    <row r="12" spans="1:11" ht="13.5" thickBot="1">
      <c r="A12" s="12">
        <v>5</v>
      </c>
      <c r="B12" s="22" t="s">
        <v>82</v>
      </c>
      <c r="C12" s="22" t="s">
        <v>43</v>
      </c>
      <c r="D12" s="19" t="s">
        <v>59</v>
      </c>
      <c r="G12" s="28" t="s">
        <v>68</v>
      </c>
      <c r="H12" s="35" t="s">
        <v>69</v>
      </c>
    </row>
    <row r="13" spans="1:11">
      <c r="A13" s="12">
        <v>6</v>
      </c>
      <c r="B13" s="22" t="s">
        <v>102</v>
      </c>
      <c r="C13" s="22" t="s">
        <v>43</v>
      </c>
      <c r="D13" s="19" t="s">
        <v>59</v>
      </c>
    </row>
    <row r="14" spans="1:11" ht="18.75" thickBot="1">
      <c r="A14" s="12">
        <v>7</v>
      </c>
      <c r="B14" s="22" t="s">
        <v>122</v>
      </c>
      <c r="C14" s="22" t="s">
        <v>43</v>
      </c>
      <c r="D14" s="19" t="s">
        <v>123</v>
      </c>
      <c r="G14" s="544" t="s">
        <v>884</v>
      </c>
      <c r="H14" s="544"/>
      <c r="I14" s="544"/>
      <c r="J14" s="544"/>
    </row>
    <row r="15" spans="1:11">
      <c r="A15" s="12">
        <v>8</v>
      </c>
      <c r="B15" s="22" t="s">
        <v>132</v>
      </c>
      <c r="C15" s="22" t="s">
        <v>43</v>
      </c>
      <c r="D15" s="19" t="s">
        <v>133</v>
      </c>
      <c r="G15" s="549" t="s">
        <v>87</v>
      </c>
      <c r="H15" s="550"/>
      <c r="I15" s="551" t="s">
        <v>95</v>
      </c>
      <c r="J15" s="552"/>
    </row>
    <row r="16" spans="1:11">
      <c r="A16" s="12">
        <v>9</v>
      </c>
      <c r="B16" s="22" t="s">
        <v>138</v>
      </c>
      <c r="C16" s="22" t="s">
        <v>43</v>
      </c>
      <c r="D16" s="19" t="s">
        <v>139</v>
      </c>
      <c r="G16" s="41" t="s">
        <v>105</v>
      </c>
      <c r="H16" s="42" t="str">
        <f>G8</f>
        <v>BĐ.F.02_Liên quân GXT-XTH</v>
      </c>
      <c r="I16" s="121" t="s">
        <v>111</v>
      </c>
      <c r="J16" s="122" t="str">
        <f>G9</f>
        <v>BĐ.F.03_Liên quân LSG-PQU</v>
      </c>
    </row>
    <row r="17" spans="1:10">
      <c r="A17" s="12">
        <v>10</v>
      </c>
      <c r="B17" s="22" t="s">
        <v>142</v>
      </c>
      <c r="C17" s="22" t="s">
        <v>43</v>
      </c>
      <c r="D17" s="19" t="s">
        <v>144</v>
      </c>
      <c r="G17" s="43" t="s">
        <v>109</v>
      </c>
      <c r="H17" s="44" t="str">
        <f>G7</f>
        <v>BĐ.F.01_DLR</v>
      </c>
      <c r="I17" s="123" t="s">
        <v>129</v>
      </c>
      <c r="J17" s="124" t="str">
        <f>G12</f>
        <v>BĐ.F.06_Liên quân SLA-MCH</v>
      </c>
    </row>
    <row r="18" spans="1:10" ht="13.5" thickBot="1">
      <c r="A18" s="13">
        <v>11</v>
      </c>
      <c r="B18" s="23" t="s">
        <v>148</v>
      </c>
      <c r="C18" s="23" t="s">
        <v>43</v>
      </c>
      <c r="D18" s="20" t="s">
        <v>151</v>
      </c>
      <c r="G18" s="45" t="s">
        <v>117</v>
      </c>
      <c r="H18" s="46" t="str">
        <f>G10</f>
        <v>BĐ.F.04_Liên quân QNA-HAN</v>
      </c>
      <c r="I18" s="125" t="s">
        <v>134</v>
      </c>
      <c r="J18" s="126" t="str">
        <f>G11</f>
        <v>BĐ.F.05_Cụm siêu thị MT Mart</v>
      </c>
    </row>
    <row r="19" spans="1:10" ht="13.5" thickBot="1"/>
    <row r="20" spans="1:10">
      <c r="A20" s="528" t="s">
        <v>155</v>
      </c>
      <c r="B20" s="529"/>
      <c r="C20" s="529"/>
      <c r="D20" s="530"/>
      <c r="E20" s="5" t="s">
        <v>21</v>
      </c>
      <c r="G20" s="171" t="s">
        <v>946</v>
      </c>
      <c r="H20" s="169"/>
      <c r="I20" s="169"/>
      <c r="J20" s="169"/>
    </row>
    <row r="21" spans="1:10">
      <c r="A21" s="15" t="s">
        <v>1</v>
      </c>
      <c r="B21" s="16" t="s">
        <v>23</v>
      </c>
      <c r="C21" s="16" t="s">
        <v>24</v>
      </c>
      <c r="D21" s="17" t="s">
        <v>25</v>
      </c>
      <c r="G21" s="170" t="s">
        <v>105</v>
      </c>
      <c r="H21" s="169" t="s">
        <v>21</v>
      </c>
      <c r="I21" s="170" t="s">
        <v>111</v>
      </c>
      <c r="J21" s="169" t="s">
        <v>28</v>
      </c>
    </row>
    <row r="22" spans="1:10">
      <c r="A22" s="14">
        <v>1</v>
      </c>
      <c r="B22" s="21" t="s">
        <v>160</v>
      </c>
      <c r="C22" s="21" t="s">
        <v>161</v>
      </c>
      <c r="D22" s="18" t="s">
        <v>162</v>
      </c>
      <c r="G22" s="170" t="s">
        <v>109</v>
      </c>
      <c r="H22" s="169" t="s">
        <v>14</v>
      </c>
      <c r="I22" s="170" t="s">
        <v>129</v>
      </c>
      <c r="J22" s="169" t="s">
        <v>68</v>
      </c>
    </row>
    <row r="23" spans="1:10">
      <c r="A23" s="12">
        <v>2</v>
      </c>
      <c r="B23" s="22" t="s">
        <v>166</v>
      </c>
      <c r="C23" s="22" t="s">
        <v>161</v>
      </c>
      <c r="D23" s="19" t="s">
        <v>162</v>
      </c>
      <c r="G23" s="170"/>
      <c r="H23" s="169"/>
      <c r="I23" s="170"/>
      <c r="J23" s="169"/>
    </row>
    <row r="24" spans="1:10">
      <c r="A24" s="12">
        <v>3</v>
      </c>
      <c r="B24" s="22" t="s">
        <v>172</v>
      </c>
      <c r="C24" s="22" t="s">
        <v>161</v>
      </c>
      <c r="D24" s="19" t="s">
        <v>162</v>
      </c>
      <c r="G24" s="170" t="s">
        <v>109</v>
      </c>
      <c r="H24" s="169" t="s">
        <v>14</v>
      </c>
      <c r="I24" s="170" t="s">
        <v>129</v>
      </c>
      <c r="J24" s="169" t="s">
        <v>68</v>
      </c>
    </row>
    <row r="25" spans="1:10">
      <c r="A25" s="12">
        <v>4</v>
      </c>
      <c r="B25" s="22" t="s">
        <v>175</v>
      </c>
      <c r="C25" s="22" t="s">
        <v>176</v>
      </c>
      <c r="D25" s="19" t="s">
        <v>123</v>
      </c>
      <c r="G25" s="170" t="s">
        <v>117</v>
      </c>
      <c r="H25" s="169" t="s">
        <v>47</v>
      </c>
      <c r="I25" s="170" t="s">
        <v>134</v>
      </c>
      <c r="J25" s="169" t="s">
        <v>61</v>
      </c>
    </row>
    <row r="26" spans="1:10">
      <c r="A26" s="12">
        <v>5</v>
      </c>
      <c r="B26" s="22" t="s">
        <v>179</v>
      </c>
      <c r="C26" s="22" t="s">
        <v>176</v>
      </c>
      <c r="D26" s="19" t="s">
        <v>182</v>
      </c>
      <c r="G26" s="170"/>
      <c r="H26" s="169"/>
      <c r="I26" s="170"/>
      <c r="J26" s="169"/>
    </row>
    <row r="27" spans="1:10">
      <c r="A27" s="12">
        <v>6</v>
      </c>
      <c r="B27" s="22" t="s">
        <v>185</v>
      </c>
      <c r="C27" s="22" t="s">
        <v>176</v>
      </c>
      <c r="D27" s="19" t="s">
        <v>139</v>
      </c>
      <c r="G27" s="170" t="s">
        <v>117</v>
      </c>
      <c r="H27" s="169" t="s">
        <v>47</v>
      </c>
      <c r="I27" s="170" t="s">
        <v>134</v>
      </c>
      <c r="J27" s="169" t="s">
        <v>61</v>
      </c>
    </row>
    <row r="28" spans="1:10">
      <c r="A28" s="12">
        <v>7</v>
      </c>
      <c r="B28" s="22" t="s">
        <v>42</v>
      </c>
      <c r="C28" s="22" t="s">
        <v>161</v>
      </c>
      <c r="D28" s="19" t="s">
        <v>59</v>
      </c>
      <c r="G28" s="170" t="s">
        <v>105</v>
      </c>
      <c r="H28" s="169" t="s">
        <v>21</v>
      </c>
      <c r="I28" s="170" t="s">
        <v>111</v>
      </c>
      <c r="J28" s="169" t="s">
        <v>28</v>
      </c>
    </row>
    <row r="29" spans="1:10">
      <c r="A29" s="12">
        <v>8</v>
      </c>
      <c r="B29" s="22" t="s">
        <v>191</v>
      </c>
      <c r="C29" s="22" t="s">
        <v>161</v>
      </c>
      <c r="D29" s="19" t="s">
        <v>59</v>
      </c>
    </row>
    <row r="30" spans="1:10">
      <c r="A30" s="12">
        <v>9</v>
      </c>
      <c r="B30" s="22" t="s">
        <v>192</v>
      </c>
      <c r="C30" s="22" t="s">
        <v>161</v>
      </c>
      <c r="D30" s="19" t="s">
        <v>59</v>
      </c>
      <c r="G30" s="171" t="s">
        <v>947</v>
      </c>
      <c r="H30" s="170" t="s">
        <v>948</v>
      </c>
      <c r="I30" s="170"/>
      <c r="J30" s="170" t="s">
        <v>948</v>
      </c>
    </row>
    <row r="31" spans="1:10">
      <c r="A31" s="12">
        <v>10</v>
      </c>
      <c r="B31" s="22" t="s">
        <v>198</v>
      </c>
      <c r="C31" s="22" t="s">
        <v>161</v>
      </c>
      <c r="D31" s="19" t="s">
        <v>59</v>
      </c>
      <c r="G31" s="170" t="s">
        <v>105</v>
      </c>
      <c r="H31" s="170"/>
      <c r="I31" s="170" t="s">
        <v>111</v>
      </c>
      <c r="J31" s="169"/>
    </row>
    <row r="32" spans="1:10" ht="13.5" thickBot="1">
      <c r="A32" s="13">
        <v>11</v>
      </c>
      <c r="B32" s="23" t="s">
        <v>202</v>
      </c>
      <c r="C32" s="23" t="s">
        <v>161</v>
      </c>
      <c r="D32" s="20" t="s">
        <v>59</v>
      </c>
      <c r="G32" s="170" t="s">
        <v>109</v>
      </c>
      <c r="H32" s="170"/>
      <c r="I32" s="170" t="s">
        <v>129</v>
      </c>
      <c r="J32" s="169"/>
    </row>
    <row r="33" spans="1:10" ht="13.5" thickBot="1">
      <c r="G33" s="170" t="s">
        <v>117</v>
      </c>
      <c r="H33" s="170"/>
      <c r="I33" s="170" t="s">
        <v>134</v>
      </c>
      <c r="J33" s="169"/>
    </row>
    <row r="34" spans="1:10" ht="13.5" thickBot="1">
      <c r="A34" s="528" t="s">
        <v>208</v>
      </c>
      <c r="B34" s="529"/>
      <c r="C34" s="529"/>
      <c r="D34" s="530"/>
      <c r="E34" s="5" t="s">
        <v>28</v>
      </c>
    </row>
    <row r="35" spans="1:10">
      <c r="A35" s="15" t="s">
        <v>1</v>
      </c>
      <c r="B35" s="16" t="s">
        <v>23</v>
      </c>
      <c r="C35" s="16" t="s">
        <v>24</v>
      </c>
      <c r="D35" s="17" t="s">
        <v>25</v>
      </c>
      <c r="G35" s="55" t="s">
        <v>880</v>
      </c>
      <c r="H35" s="56" t="s">
        <v>881</v>
      </c>
    </row>
    <row r="36" spans="1:10" ht="13.5" thickBot="1">
      <c r="A36" s="14">
        <v>1</v>
      </c>
      <c r="B36" s="21" t="s">
        <v>214</v>
      </c>
      <c r="C36" s="21" t="s">
        <v>215</v>
      </c>
      <c r="D36" s="18" t="s">
        <v>216</v>
      </c>
      <c r="G36" s="57" t="s">
        <v>81</v>
      </c>
      <c r="H36" s="58" t="s">
        <v>882</v>
      </c>
    </row>
    <row r="37" spans="1:10">
      <c r="A37" s="12">
        <v>2</v>
      </c>
      <c r="B37" s="22" t="s">
        <v>218</v>
      </c>
      <c r="C37" s="22" t="s">
        <v>215</v>
      </c>
      <c r="D37" s="19" t="s">
        <v>219</v>
      </c>
    </row>
    <row r="38" spans="1:10">
      <c r="A38" s="12">
        <v>3</v>
      </c>
      <c r="B38" s="22" t="s">
        <v>220</v>
      </c>
      <c r="C38" s="22" t="s">
        <v>221</v>
      </c>
      <c r="D38" s="19" t="s">
        <v>170</v>
      </c>
    </row>
    <row r="39" spans="1:10">
      <c r="A39" s="12">
        <v>4</v>
      </c>
      <c r="B39" s="22" t="s">
        <v>222</v>
      </c>
      <c r="C39" s="22" t="s">
        <v>221</v>
      </c>
      <c r="D39" s="19" t="s">
        <v>210</v>
      </c>
    </row>
    <row r="40" spans="1:10">
      <c r="A40" s="12">
        <v>5</v>
      </c>
      <c r="B40" s="22" t="s">
        <v>227</v>
      </c>
      <c r="C40" s="22" t="s">
        <v>221</v>
      </c>
      <c r="D40" s="19" t="s">
        <v>228</v>
      </c>
    </row>
    <row r="41" spans="1:10">
      <c r="A41" s="12">
        <v>6</v>
      </c>
      <c r="B41" s="22" t="s">
        <v>230</v>
      </c>
      <c r="C41" s="22" t="s">
        <v>221</v>
      </c>
      <c r="D41" s="19" t="s">
        <v>231</v>
      </c>
    </row>
    <row r="42" spans="1:10">
      <c r="A42" s="12">
        <v>7</v>
      </c>
      <c r="B42" s="22" t="s">
        <v>236</v>
      </c>
      <c r="C42" s="22" t="s">
        <v>221</v>
      </c>
      <c r="D42" s="19" t="s">
        <v>187</v>
      </c>
    </row>
    <row r="43" spans="1:10">
      <c r="A43" s="12">
        <v>8</v>
      </c>
      <c r="B43" s="22" t="s">
        <v>238</v>
      </c>
      <c r="C43" s="22" t="s">
        <v>221</v>
      </c>
      <c r="D43" s="19" t="s">
        <v>239</v>
      </c>
    </row>
    <row r="44" spans="1:10">
      <c r="A44" s="12">
        <v>9</v>
      </c>
      <c r="B44" s="22" t="s">
        <v>241</v>
      </c>
      <c r="C44" s="22" t="s">
        <v>221</v>
      </c>
      <c r="D44" s="19" t="s">
        <v>133</v>
      </c>
    </row>
    <row r="45" spans="1:10">
      <c r="A45" s="12">
        <v>10</v>
      </c>
      <c r="B45" s="22" t="s">
        <v>244</v>
      </c>
      <c r="C45" s="22" t="s">
        <v>215</v>
      </c>
      <c r="D45" s="19" t="s">
        <v>245</v>
      </c>
    </row>
    <row r="46" spans="1:10" ht="13.5" thickBot="1">
      <c r="A46" s="13">
        <v>11</v>
      </c>
      <c r="B46" s="23" t="s">
        <v>247</v>
      </c>
      <c r="C46" s="23" t="s">
        <v>215</v>
      </c>
      <c r="D46" s="20" t="s">
        <v>248</v>
      </c>
    </row>
    <row r="48" spans="1:10">
      <c r="A48" s="546" t="s">
        <v>251</v>
      </c>
      <c r="B48" s="547"/>
      <c r="C48" s="547"/>
      <c r="D48" s="548"/>
      <c r="E48" s="5" t="s">
        <v>47</v>
      </c>
    </row>
    <row r="49" spans="1:5">
      <c r="A49" s="8" t="s">
        <v>1</v>
      </c>
      <c r="B49" s="8" t="s">
        <v>23</v>
      </c>
      <c r="C49" s="8" t="s">
        <v>24</v>
      </c>
      <c r="D49" s="8" t="s">
        <v>25</v>
      </c>
    </row>
    <row r="50" spans="1:5">
      <c r="A50" s="9">
        <v>1</v>
      </c>
      <c r="B50" s="9" t="s">
        <v>257</v>
      </c>
      <c r="C50" s="9" t="s">
        <v>258</v>
      </c>
      <c r="D50" s="9" t="s">
        <v>133</v>
      </c>
    </row>
    <row r="51" spans="1:5">
      <c r="A51" s="9">
        <v>2</v>
      </c>
      <c r="B51" s="9" t="s">
        <v>262</v>
      </c>
      <c r="C51" s="9" t="s">
        <v>263</v>
      </c>
      <c r="D51" s="9" t="s">
        <v>231</v>
      </c>
    </row>
    <row r="52" spans="1:5">
      <c r="A52" s="9">
        <v>3</v>
      </c>
      <c r="B52" s="9" t="s">
        <v>265</v>
      </c>
      <c r="C52" s="9" t="s">
        <v>263</v>
      </c>
      <c r="D52" s="9" t="s">
        <v>266</v>
      </c>
    </row>
    <row r="53" spans="1:5">
      <c r="A53" s="9">
        <v>4</v>
      </c>
      <c r="B53" s="9" t="s">
        <v>269</v>
      </c>
      <c r="C53" s="9" t="s">
        <v>263</v>
      </c>
      <c r="D53" s="9" t="s">
        <v>239</v>
      </c>
    </row>
    <row r="54" spans="1:5">
      <c r="A54" s="9">
        <v>5</v>
      </c>
      <c r="B54" s="9" t="s">
        <v>273</v>
      </c>
      <c r="C54" s="9" t="s">
        <v>258</v>
      </c>
      <c r="D54" s="9" t="s">
        <v>46</v>
      </c>
    </row>
    <row r="55" spans="1:5">
      <c r="A55" s="9">
        <v>6</v>
      </c>
      <c r="B55" s="9" t="s">
        <v>275</v>
      </c>
      <c r="C55" s="9" t="s">
        <v>258</v>
      </c>
      <c r="D55" s="9" t="s">
        <v>276</v>
      </c>
    </row>
    <row r="56" spans="1:5">
      <c r="A56" s="9">
        <v>7</v>
      </c>
      <c r="B56" s="9" t="s">
        <v>278</v>
      </c>
      <c r="C56" s="9" t="s">
        <v>258</v>
      </c>
      <c r="D56" s="9" t="s">
        <v>231</v>
      </c>
    </row>
    <row r="57" spans="1:5">
      <c r="A57" s="9">
        <v>8</v>
      </c>
      <c r="B57" s="9" t="s">
        <v>281</v>
      </c>
      <c r="C57" s="9" t="s">
        <v>258</v>
      </c>
      <c r="D57" s="9" t="s">
        <v>282</v>
      </c>
    </row>
    <row r="58" spans="1:5">
      <c r="A58" s="9">
        <v>9</v>
      </c>
      <c r="B58" s="9" t="s">
        <v>283</v>
      </c>
      <c r="C58" s="9" t="s">
        <v>258</v>
      </c>
      <c r="D58" s="9" t="s">
        <v>231</v>
      </c>
    </row>
    <row r="59" spans="1:5">
      <c r="A59" s="9">
        <v>10</v>
      </c>
      <c r="B59" s="9" t="s">
        <v>284</v>
      </c>
      <c r="C59" s="9" t="s">
        <v>258</v>
      </c>
      <c r="D59" s="9" t="s">
        <v>182</v>
      </c>
    </row>
    <row r="61" spans="1:5">
      <c r="A61" s="546" t="s">
        <v>289</v>
      </c>
      <c r="B61" s="547"/>
      <c r="C61" s="547"/>
      <c r="D61" s="548"/>
      <c r="E61" s="5" t="s">
        <v>61</v>
      </c>
    </row>
    <row r="62" spans="1:5">
      <c r="A62" s="8" t="s">
        <v>1</v>
      </c>
      <c r="B62" s="8" t="s">
        <v>23</v>
      </c>
      <c r="C62" s="8" t="s">
        <v>24</v>
      </c>
      <c r="D62" s="8" t="s">
        <v>25</v>
      </c>
    </row>
    <row r="63" spans="1:5">
      <c r="A63" s="9">
        <v>1</v>
      </c>
      <c r="B63" s="9" t="s">
        <v>298</v>
      </c>
      <c r="C63" s="9" t="s">
        <v>300</v>
      </c>
      <c r="D63" s="9" t="s">
        <v>59</v>
      </c>
    </row>
    <row r="64" spans="1:5">
      <c r="A64" s="9">
        <v>2</v>
      </c>
      <c r="B64" s="9" t="s">
        <v>305</v>
      </c>
      <c r="C64" s="9" t="s">
        <v>300</v>
      </c>
      <c r="D64" s="9" t="s">
        <v>307</v>
      </c>
    </row>
    <row r="65" spans="1:5">
      <c r="A65" s="9">
        <v>3</v>
      </c>
      <c r="B65" s="9" t="s">
        <v>312</v>
      </c>
      <c r="C65" s="9" t="s">
        <v>300</v>
      </c>
      <c r="D65" s="9" t="s">
        <v>307</v>
      </c>
    </row>
    <row r="66" spans="1:5">
      <c r="A66" s="9">
        <v>4</v>
      </c>
      <c r="B66" s="9" t="s">
        <v>318</v>
      </c>
      <c r="C66" s="9" t="s">
        <v>300</v>
      </c>
      <c r="D66" s="9" t="s">
        <v>307</v>
      </c>
    </row>
    <row r="67" spans="1:5">
      <c r="A67" s="9">
        <v>5</v>
      </c>
      <c r="B67" s="9" t="s">
        <v>322</v>
      </c>
      <c r="C67" s="9" t="s">
        <v>300</v>
      </c>
      <c r="D67" s="9" t="s">
        <v>307</v>
      </c>
    </row>
    <row r="68" spans="1:5">
      <c r="A68" s="9">
        <v>6</v>
      </c>
      <c r="B68" s="9" t="s">
        <v>327</v>
      </c>
      <c r="C68" s="9" t="s">
        <v>300</v>
      </c>
      <c r="D68" s="9" t="s">
        <v>307</v>
      </c>
    </row>
    <row r="69" spans="1:5">
      <c r="A69" s="9">
        <v>7</v>
      </c>
      <c r="B69" s="9" t="s">
        <v>330</v>
      </c>
      <c r="C69" s="9" t="s">
        <v>300</v>
      </c>
      <c r="D69" s="9" t="s">
        <v>307</v>
      </c>
    </row>
    <row r="70" spans="1:5">
      <c r="A70" s="9">
        <v>8</v>
      </c>
      <c r="B70" s="9" t="s">
        <v>334</v>
      </c>
      <c r="C70" s="9" t="s">
        <v>300</v>
      </c>
      <c r="D70" s="9" t="s">
        <v>307</v>
      </c>
    </row>
    <row r="71" spans="1:5">
      <c r="A71" s="9">
        <v>9</v>
      </c>
      <c r="B71" s="9" t="s">
        <v>336</v>
      </c>
      <c r="C71" s="9" t="s">
        <v>300</v>
      </c>
      <c r="D71" s="9" t="s">
        <v>337</v>
      </c>
    </row>
    <row r="72" spans="1:5">
      <c r="A72" s="9">
        <v>10</v>
      </c>
      <c r="B72" s="9" t="s">
        <v>340</v>
      </c>
      <c r="C72" s="9" t="s">
        <v>300</v>
      </c>
      <c r="D72" s="9" t="s">
        <v>337</v>
      </c>
    </row>
    <row r="74" spans="1:5">
      <c r="A74" s="546" t="s">
        <v>347</v>
      </c>
      <c r="B74" s="547"/>
      <c r="C74" s="547"/>
      <c r="D74" s="548"/>
      <c r="E74" s="5" t="s">
        <v>68</v>
      </c>
    </row>
    <row r="75" spans="1:5">
      <c r="A75" s="8" t="s">
        <v>1</v>
      </c>
      <c r="B75" s="8" t="s">
        <v>23</v>
      </c>
      <c r="C75" s="8" t="s">
        <v>24</v>
      </c>
      <c r="D75" s="8" t="s">
        <v>25</v>
      </c>
    </row>
    <row r="76" spans="1:5">
      <c r="A76" s="9">
        <v>1</v>
      </c>
      <c r="B76" s="9" t="s">
        <v>353</v>
      </c>
      <c r="C76" s="9" t="s">
        <v>233</v>
      </c>
      <c r="D76" s="9" t="s">
        <v>266</v>
      </c>
    </row>
    <row r="77" spans="1:5">
      <c r="A77" s="9">
        <v>2</v>
      </c>
      <c r="B77" s="9" t="s">
        <v>358</v>
      </c>
      <c r="C77" s="9" t="s">
        <v>224</v>
      </c>
      <c r="D77" s="9" t="s">
        <v>170</v>
      </c>
    </row>
    <row r="78" spans="1:5">
      <c r="A78" s="9">
        <v>3</v>
      </c>
      <c r="B78" s="9" t="s">
        <v>363</v>
      </c>
      <c r="C78" s="9" t="s">
        <v>224</v>
      </c>
      <c r="D78" s="9" t="s">
        <v>182</v>
      </c>
    </row>
    <row r="79" spans="1:5">
      <c r="A79" s="9">
        <v>4</v>
      </c>
      <c r="B79" s="9" t="s">
        <v>365</v>
      </c>
      <c r="C79" s="9" t="s">
        <v>224</v>
      </c>
      <c r="D79" s="9" t="s">
        <v>168</v>
      </c>
    </row>
    <row r="80" spans="1:5">
      <c r="A80" s="9">
        <v>5</v>
      </c>
      <c r="B80" s="9" t="s">
        <v>366</v>
      </c>
      <c r="C80" s="9" t="s">
        <v>224</v>
      </c>
      <c r="D80" s="9" t="s">
        <v>213</v>
      </c>
    </row>
    <row r="81" spans="1:4">
      <c r="A81" s="9">
        <v>6</v>
      </c>
      <c r="B81" s="9" t="s">
        <v>367</v>
      </c>
      <c r="C81" s="9" t="s">
        <v>233</v>
      </c>
      <c r="D81" s="9" t="s">
        <v>368</v>
      </c>
    </row>
    <row r="82" spans="1:4">
      <c r="A82" s="9">
        <v>7</v>
      </c>
      <c r="B82" s="9" t="s">
        <v>369</v>
      </c>
      <c r="C82" s="9" t="s">
        <v>233</v>
      </c>
      <c r="D82" s="9" t="s">
        <v>187</v>
      </c>
    </row>
    <row r="83" spans="1:4">
      <c r="A83" s="9">
        <v>8</v>
      </c>
      <c r="B83" s="9" t="s">
        <v>371</v>
      </c>
      <c r="C83" s="9" t="s">
        <v>233</v>
      </c>
      <c r="D83" s="9" t="s">
        <v>182</v>
      </c>
    </row>
    <row r="84" spans="1:4">
      <c r="A84" s="9">
        <v>9</v>
      </c>
      <c r="B84" s="9" t="s">
        <v>372</v>
      </c>
      <c r="C84" s="9" t="s">
        <v>233</v>
      </c>
      <c r="D84" s="9" t="s">
        <v>373</v>
      </c>
    </row>
    <row r="85" spans="1:4">
      <c r="A85" s="9">
        <v>10</v>
      </c>
      <c r="B85" s="9" t="s">
        <v>375</v>
      </c>
      <c r="C85" s="9" t="s">
        <v>233</v>
      </c>
      <c r="D85" s="9" t="s">
        <v>248</v>
      </c>
    </row>
    <row r="86" spans="1:4">
      <c r="A86" s="9">
        <v>11</v>
      </c>
      <c r="B86" s="9" t="s">
        <v>376</v>
      </c>
      <c r="C86" s="9" t="s">
        <v>233</v>
      </c>
      <c r="D86" s="9" t="s">
        <v>210</v>
      </c>
    </row>
  </sheetData>
  <mergeCells count="10">
    <mergeCell ref="A61:D61"/>
    <mergeCell ref="A74:D74"/>
    <mergeCell ref="A3:D3"/>
    <mergeCell ref="A6:D6"/>
    <mergeCell ref="G14:J14"/>
    <mergeCell ref="G15:H15"/>
    <mergeCell ref="I15:J15"/>
    <mergeCell ref="A20:D20"/>
    <mergeCell ref="A34:D34"/>
    <mergeCell ref="A48:D48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2"/>
  <sheetViews>
    <sheetView workbookViewId="0">
      <selection activeCell="B7" sqref="B7"/>
    </sheetView>
  </sheetViews>
  <sheetFormatPr defaultColWidth="14.42578125" defaultRowHeight="12.75"/>
  <cols>
    <col min="1" max="1" width="6" style="5" customWidth="1"/>
    <col min="2" max="2" width="20.140625" style="5" bestFit="1" customWidth="1"/>
    <col min="3" max="3" width="29.85546875" style="5" bestFit="1" customWidth="1"/>
    <col min="4" max="4" width="35" style="5" bestFit="1" customWidth="1"/>
    <col min="5" max="5" width="25.5703125" style="5" hidden="1" customWidth="1"/>
    <col min="6" max="6" width="4.5703125" style="5" customWidth="1"/>
    <col min="7" max="7" width="25.7109375" style="5" customWidth="1"/>
    <col min="8" max="8" width="27.5703125" style="5" customWidth="1"/>
    <col min="9" max="9" width="32.140625" style="5" customWidth="1"/>
    <col min="10" max="10" width="30.42578125" style="5" customWidth="1"/>
    <col min="11" max="22" width="8.7109375" style="5" customWidth="1"/>
    <col min="23" max="16384" width="14.42578125" style="5"/>
  </cols>
  <sheetData>
    <row r="1" spans="1:13">
      <c r="A1" s="5" t="s">
        <v>865</v>
      </c>
    </row>
    <row r="3" spans="1:13" ht="18">
      <c r="A3" s="537" t="s">
        <v>885</v>
      </c>
      <c r="B3" s="538"/>
      <c r="C3" s="538"/>
      <c r="D3" s="538"/>
      <c r="E3" s="5" t="s">
        <v>39</v>
      </c>
    </row>
    <row r="5" spans="1:13" ht="13.5" thickBot="1">
      <c r="A5" s="6" t="s">
        <v>8</v>
      </c>
    </row>
    <row r="6" spans="1:13">
      <c r="A6" s="528" t="s">
        <v>280</v>
      </c>
      <c r="B6" s="529"/>
      <c r="C6" s="529"/>
      <c r="D6" s="529"/>
      <c r="E6" s="5" t="s">
        <v>51</v>
      </c>
      <c r="G6" s="36" t="s">
        <v>9</v>
      </c>
      <c r="H6" s="561" t="s">
        <v>10</v>
      </c>
      <c r="I6" s="562"/>
      <c r="K6" s="70"/>
      <c r="L6" s="70"/>
      <c r="M6" s="70"/>
    </row>
    <row r="7" spans="1:13">
      <c r="A7" s="77" t="s">
        <v>1</v>
      </c>
      <c r="B7" s="78" t="s">
        <v>23</v>
      </c>
      <c r="C7" s="78" t="s">
        <v>24</v>
      </c>
      <c r="D7" s="78" t="s">
        <v>25</v>
      </c>
      <c r="G7" s="29" t="s">
        <v>51</v>
      </c>
      <c r="H7" s="563" t="s">
        <v>280</v>
      </c>
      <c r="I7" s="564"/>
      <c r="K7" s="70"/>
      <c r="L7" s="70"/>
      <c r="M7" s="70"/>
    </row>
    <row r="8" spans="1:13">
      <c r="A8" s="14">
        <v>1</v>
      </c>
      <c r="B8" s="75" t="s">
        <v>297</v>
      </c>
      <c r="C8" s="75" t="s">
        <v>299</v>
      </c>
      <c r="D8" s="75" t="s">
        <v>216</v>
      </c>
      <c r="G8" s="27" t="s">
        <v>287</v>
      </c>
      <c r="H8" s="557" t="s">
        <v>290</v>
      </c>
      <c r="I8" s="558"/>
      <c r="J8" s="70"/>
      <c r="K8" s="70"/>
      <c r="L8" s="70"/>
      <c r="M8" s="70"/>
    </row>
    <row r="9" spans="1:13">
      <c r="A9" s="12">
        <v>2</v>
      </c>
      <c r="B9" s="71" t="s">
        <v>306</v>
      </c>
      <c r="C9" s="71" t="s">
        <v>299</v>
      </c>
      <c r="D9" s="71" t="s">
        <v>210</v>
      </c>
      <c r="G9" s="27" t="s">
        <v>293</v>
      </c>
      <c r="H9" s="557" t="s">
        <v>294</v>
      </c>
      <c r="I9" s="558"/>
      <c r="J9" s="70"/>
      <c r="K9" s="70"/>
      <c r="L9" s="70"/>
      <c r="M9" s="70"/>
    </row>
    <row r="10" spans="1:13">
      <c r="A10" s="12">
        <v>3</v>
      </c>
      <c r="B10" s="71" t="s">
        <v>313</v>
      </c>
      <c r="C10" s="71" t="s">
        <v>299</v>
      </c>
      <c r="D10" s="71" t="s">
        <v>315</v>
      </c>
      <c r="G10" s="27" t="s">
        <v>301</v>
      </c>
      <c r="H10" s="557" t="s">
        <v>302</v>
      </c>
      <c r="I10" s="558"/>
      <c r="J10" s="70"/>
      <c r="K10" s="70"/>
      <c r="L10" s="70"/>
      <c r="M10" s="70"/>
    </row>
    <row r="11" spans="1:13">
      <c r="A11" s="12">
        <v>4</v>
      </c>
      <c r="B11" s="71" t="s">
        <v>320</v>
      </c>
      <c r="C11" s="71" t="s">
        <v>299</v>
      </c>
      <c r="D11" s="71" t="s">
        <v>207</v>
      </c>
      <c r="G11" s="27" t="s">
        <v>309</v>
      </c>
      <c r="H11" s="557" t="s">
        <v>310</v>
      </c>
      <c r="I11" s="558"/>
      <c r="J11" s="70"/>
      <c r="K11" s="70"/>
      <c r="L11" s="70"/>
      <c r="M11" s="70"/>
    </row>
    <row r="12" spans="1:13">
      <c r="A12" s="12">
        <v>5</v>
      </c>
      <c r="B12" s="71" t="s">
        <v>326</v>
      </c>
      <c r="C12" s="71" t="s">
        <v>299</v>
      </c>
      <c r="D12" s="71" t="s">
        <v>165</v>
      </c>
      <c r="G12" s="27" t="s">
        <v>316</v>
      </c>
      <c r="H12" s="557" t="s">
        <v>317</v>
      </c>
      <c r="I12" s="558"/>
      <c r="J12" s="70"/>
      <c r="K12" s="70"/>
      <c r="L12" s="70"/>
      <c r="M12" s="70"/>
    </row>
    <row r="13" spans="1:13">
      <c r="A13" s="12">
        <v>6</v>
      </c>
      <c r="B13" s="71" t="s">
        <v>331</v>
      </c>
      <c r="C13" s="71" t="s">
        <v>299</v>
      </c>
      <c r="D13" s="71" t="s">
        <v>332</v>
      </c>
      <c r="G13" s="27" t="s">
        <v>321</v>
      </c>
      <c r="H13" s="557" t="s">
        <v>323</v>
      </c>
      <c r="I13" s="558"/>
      <c r="J13" s="70"/>
    </row>
    <row r="14" spans="1:13" ht="13.5" thickBot="1">
      <c r="A14" s="12">
        <v>7</v>
      </c>
      <c r="B14" s="71" t="s">
        <v>335</v>
      </c>
      <c r="C14" s="71" t="s">
        <v>299</v>
      </c>
      <c r="D14" s="71" t="s">
        <v>182</v>
      </c>
      <c r="G14" s="28" t="s">
        <v>328</v>
      </c>
      <c r="H14" s="559" t="s">
        <v>329</v>
      </c>
      <c r="I14" s="560"/>
      <c r="J14" s="70"/>
    </row>
    <row r="15" spans="1:13">
      <c r="A15" s="12">
        <v>8</v>
      </c>
      <c r="B15" s="71" t="s">
        <v>343</v>
      </c>
      <c r="C15" s="71" t="s">
        <v>299</v>
      </c>
      <c r="D15" s="71" t="s">
        <v>344</v>
      </c>
      <c r="J15" s="70"/>
    </row>
    <row r="16" spans="1:13" ht="18.75" thickBot="1">
      <c r="A16" s="12">
        <v>9</v>
      </c>
      <c r="B16" s="71" t="s">
        <v>356</v>
      </c>
      <c r="C16" s="71" t="s">
        <v>299</v>
      </c>
      <c r="D16" s="71" t="s">
        <v>357</v>
      </c>
      <c r="G16" s="539" t="s">
        <v>892</v>
      </c>
      <c r="H16" s="539"/>
      <c r="I16" s="539"/>
      <c r="J16" s="539"/>
    </row>
    <row r="17" spans="1:10">
      <c r="A17" s="12">
        <v>10</v>
      </c>
      <c r="B17" s="71" t="s">
        <v>364</v>
      </c>
      <c r="C17" s="71" t="s">
        <v>299</v>
      </c>
      <c r="D17" s="71" t="s">
        <v>178</v>
      </c>
      <c r="G17" s="553" t="s">
        <v>87</v>
      </c>
      <c r="H17" s="554"/>
      <c r="I17" s="555" t="s">
        <v>95</v>
      </c>
      <c r="J17" s="556"/>
    </row>
    <row r="18" spans="1:10" ht="13.5" thickBot="1">
      <c r="A18" s="13">
        <v>11</v>
      </c>
      <c r="B18" s="73" t="s">
        <v>370</v>
      </c>
      <c r="C18" s="73" t="s">
        <v>299</v>
      </c>
      <c r="D18" s="73" t="s">
        <v>368</v>
      </c>
      <c r="G18" s="41" t="s">
        <v>105</v>
      </c>
      <c r="H18" s="42" t="str">
        <f>G7</f>
        <v>KC.01_CMA</v>
      </c>
      <c r="I18" s="98" t="s">
        <v>111</v>
      </c>
      <c r="J18" s="99" t="str">
        <f>G12</f>
        <v xml:space="preserve">KC.06_ Liên quân SMO-HLC-HLR </v>
      </c>
    </row>
    <row r="19" spans="1:10" ht="13.5" thickBot="1">
      <c r="G19" s="43" t="s">
        <v>109</v>
      </c>
      <c r="H19" s="44" t="str">
        <f>G8</f>
        <v>KC.02_DLR</v>
      </c>
      <c r="I19" s="100" t="s">
        <v>129</v>
      </c>
      <c r="J19" s="101" t="str">
        <f>G11</f>
        <v>KC.05_Liên quân NTR -VTR</v>
      </c>
    </row>
    <row r="20" spans="1:10">
      <c r="A20" s="528" t="s">
        <v>290</v>
      </c>
      <c r="B20" s="529"/>
      <c r="C20" s="529"/>
      <c r="D20" s="529"/>
      <c r="E20" s="5" t="s">
        <v>287</v>
      </c>
      <c r="G20" s="43" t="s">
        <v>117</v>
      </c>
      <c r="H20" s="44" t="str">
        <f>G14</f>
        <v>KC.08_VTI</v>
      </c>
      <c r="I20" s="100" t="s">
        <v>134</v>
      </c>
      <c r="J20" s="101" t="str">
        <f>G13</f>
        <v>KC.07_VPTĐ</v>
      </c>
    </row>
    <row r="21" spans="1:10" ht="13.5" thickBot="1">
      <c r="A21" s="77" t="s">
        <v>1</v>
      </c>
      <c r="B21" s="78" t="s">
        <v>23</v>
      </c>
      <c r="C21" s="78" t="s">
        <v>24</v>
      </c>
      <c r="D21" s="78" t="s">
        <v>25</v>
      </c>
      <c r="G21" s="45" t="s">
        <v>124</v>
      </c>
      <c r="H21" s="46" t="str">
        <f>G9</f>
        <v>KC.03_Liên quân LDB-DBP</v>
      </c>
      <c r="I21" s="102" t="s">
        <v>374</v>
      </c>
      <c r="J21" s="103" t="str">
        <f>G10</f>
        <v>KC.04_LYS</v>
      </c>
    </row>
    <row r="22" spans="1:10">
      <c r="A22" s="14">
        <v>1</v>
      </c>
      <c r="B22" s="75" t="s">
        <v>377</v>
      </c>
      <c r="C22" s="75" t="s">
        <v>43</v>
      </c>
      <c r="D22" s="75" t="s">
        <v>378</v>
      </c>
    </row>
    <row r="23" spans="1:10">
      <c r="A23" s="12">
        <v>2</v>
      </c>
      <c r="B23" s="71" t="s">
        <v>82</v>
      </c>
      <c r="C23" s="71" t="s">
        <v>43</v>
      </c>
      <c r="D23" s="71" t="s">
        <v>379</v>
      </c>
      <c r="G23" s="171" t="s">
        <v>946</v>
      </c>
      <c r="H23" s="169"/>
      <c r="I23" s="169"/>
      <c r="J23" s="169"/>
    </row>
    <row r="24" spans="1:10">
      <c r="A24" s="12">
        <v>3</v>
      </c>
      <c r="B24" s="71" t="s">
        <v>380</v>
      </c>
      <c r="C24" s="71" t="s">
        <v>43</v>
      </c>
      <c r="D24" s="71" t="s">
        <v>59</v>
      </c>
      <c r="G24" s="170" t="s">
        <v>105</v>
      </c>
      <c r="H24" s="169" t="s">
        <v>51</v>
      </c>
      <c r="I24" s="170" t="s">
        <v>111</v>
      </c>
      <c r="J24" s="169" t="s">
        <v>316</v>
      </c>
    </row>
    <row r="25" spans="1:10">
      <c r="A25" s="12">
        <v>4</v>
      </c>
      <c r="B25" s="71" t="s">
        <v>66</v>
      </c>
      <c r="C25" s="71" t="s">
        <v>43</v>
      </c>
      <c r="D25" s="71" t="s">
        <v>59</v>
      </c>
      <c r="G25" s="170" t="s">
        <v>109</v>
      </c>
      <c r="H25" s="169" t="s">
        <v>287</v>
      </c>
      <c r="I25" s="170" t="s">
        <v>129</v>
      </c>
      <c r="J25" s="169" t="s">
        <v>309</v>
      </c>
    </row>
    <row r="26" spans="1:10">
      <c r="A26" s="12">
        <v>5</v>
      </c>
      <c r="B26" s="71" t="s">
        <v>381</v>
      </c>
      <c r="C26" s="71" t="s">
        <v>43</v>
      </c>
      <c r="D26" s="71" t="s">
        <v>181</v>
      </c>
      <c r="G26" s="170"/>
      <c r="H26" s="169"/>
      <c r="I26" s="170"/>
      <c r="J26" s="169"/>
    </row>
    <row r="27" spans="1:10">
      <c r="A27" s="12">
        <v>6</v>
      </c>
      <c r="B27" s="71" t="s">
        <v>382</v>
      </c>
      <c r="C27" s="71" t="s">
        <v>43</v>
      </c>
      <c r="D27" s="71" t="s">
        <v>46</v>
      </c>
      <c r="G27" s="170" t="s">
        <v>117</v>
      </c>
      <c r="H27" s="169" t="s">
        <v>328</v>
      </c>
      <c r="I27" s="170" t="s">
        <v>134</v>
      </c>
      <c r="J27" s="169" t="s">
        <v>321</v>
      </c>
    </row>
    <row r="28" spans="1:10">
      <c r="A28" s="12">
        <v>7</v>
      </c>
      <c r="B28" s="71" t="s">
        <v>383</v>
      </c>
      <c r="C28" s="71" t="s">
        <v>43</v>
      </c>
      <c r="D28" s="71" t="s">
        <v>384</v>
      </c>
      <c r="G28" s="170" t="s">
        <v>124</v>
      </c>
      <c r="H28" s="169" t="s">
        <v>293</v>
      </c>
      <c r="I28" s="170" t="s">
        <v>374</v>
      </c>
      <c r="J28" s="169" t="s">
        <v>301</v>
      </c>
    </row>
    <row r="29" spans="1:10">
      <c r="A29" s="12">
        <v>8</v>
      </c>
      <c r="B29" s="71" t="s">
        <v>72</v>
      </c>
      <c r="C29" s="71" t="s">
        <v>43</v>
      </c>
      <c r="D29" s="71" t="s">
        <v>67</v>
      </c>
      <c r="G29" s="170"/>
      <c r="H29" s="169"/>
      <c r="I29" s="170"/>
      <c r="J29" s="169"/>
    </row>
    <row r="30" spans="1:10">
      <c r="A30" s="12">
        <v>9</v>
      </c>
      <c r="B30" s="71" t="s">
        <v>122</v>
      </c>
      <c r="C30" s="71" t="s">
        <v>43</v>
      </c>
      <c r="D30" s="71" t="s">
        <v>123</v>
      </c>
      <c r="G30" s="170" t="s">
        <v>105</v>
      </c>
      <c r="H30" s="169" t="s">
        <v>51</v>
      </c>
      <c r="I30" s="170" t="s">
        <v>111</v>
      </c>
      <c r="J30" s="169" t="s">
        <v>316</v>
      </c>
    </row>
    <row r="31" spans="1:10">
      <c r="A31" s="12">
        <v>10</v>
      </c>
      <c r="B31" s="71" t="s">
        <v>102</v>
      </c>
      <c r="C31" s="71" t="s">
        <v>43</v>
      </c>
      <c r="D31" s="71" t="s">
        <v>59</v>
      </c>
      <c r="G31" s="170" t="s">
        <v>117</v>
      </c>
      <c r="H31" s="169" t="s">
        <v>328</v>
      </c>
      <c r="I31" s="170" t="s">
        <v>134</v>
      </c>
      <c r="J31" s="169" t="s">
        <v>321</v>
      </c>
    </row>
    <row r="32" spans="1:10">
      <c r="A32" s="12">
        <v>11</v>
      </c>
      <c r="B32" s="71" t="s">
        <v>58</v>
      </c>
      <c r="C32" s="71" t="s">
        <v>43</v>
      </c>
      <c r="D32" s="71" t="s">
        <v>59</v>
      </c>
      <c r="G32" s="170"/>
      <c r="H32" s="169"/>
      <c r="I32" s="170"/>
      <c r="J32" s="169"/>
    </row>
    <row r="33" spans="1:10" ht="13.5" thickBot="1">
      <c r="A33" s="13">
        <v>12</v>
      </c>
      <c r="B33" s="73" t="s">
        <v>385</v>
      </c>
      <c r="C33" s="73" t="s">
        <v>43</v>
      </c>
      <c r="D33" s="73" t="s">
        <v>59</v>
      </c>
      <c r="G33" s="170" t="s">
        <v>109</v>
      </c>
      <c r="H33" s="169" t="s">
        <v>287</v>
      </c>
      <c r="I33" s="170" t="s">
        <v>129</v>
      </c>
      <c r="J33" s="169" t="s">
        <v>309</v>
      </c>
    </row>
    <row r="34" spans="1:10" ht="13.5" thickBot="1">
      <c r="G34" s="170" t="s">
        <v>124</v>
      </c>
      <c r="H34" s="169" t="s">
        <v>293</v>
      </c>
      <c r="I34" s="170" t="s">
        <v>374</v>
      </c>
      <c r="J34" s="169" t="s">
        <v>301</v>
      </c>
    </row>
    <row r="35" spans="1:10">
      <c r="A35" s="528" t="s">
        <v>294</v>
      </c>
      <c r="B35" s="529"/>
      <c r="C35" s="529"/>
      <c r="D35" s="529"/>
      <c r="E35" s="5" t="s">
        <v>293</v>
      </c>
      <c r="G35" s="170"/>
      <c r="H35" s="169"/>
      <c r="I35" s="170"/>
      <c r="J35" s="169"/>
    </row>
    <row r="36" spans="1:10">
      <c r="A36" s="77" t="s">
        <v>1</v>
      </c>
      <c r="B36" s="78" t="s">
        <v>23</v>
      </c>
      <c r="C36" s="78" t="s">
        <v>24</v>
      </c>
      <c r="D36" s="78" t="s">
        <v>25</v>
      </c>
      <c r="G36" s="170" t="s">
        <v>105</v>
      </c>
      <c r="H36" s="169" t="s">
        <v>51</v>
      </c>
      <c r="I36" s="170" t="s">
        <v>111</v>
      </c>
      <c r="J36" s="169" t="s">
        <v>316</v>
      </c>
    </row>
    <row r="37" spans="1:10">
      <c r="A37" s="14">
        <v>1</v>
      </c>
      <c r="B37" s="75" t="s">
        <v>386</v>
      </c>
      <c r="C37" s="75" t="s">
        <v>387</v>
      </c>
      <c r="D37" s="75" t="s">
        <v>170</v>
      </c>
      <c r="G37" s="170" t="s">
        <v>124</v>
      </c>
      <c r="H37" s="169" t="s">
        <v>293</v>
      </c>
      <c r="I37" s="170" t="s">
        <v>374</v>
      </c>
      <c r="J37" s="169" t="s">
        <v>301</v>
      </c>
    </row>
    <row r="38" spans="1:10">
      <c r="A38" s="12">
        <v>2</v>
      </c>
      <c r="B38" s="71" t="s">
        <v>388</v>
      </c>
      <c r="C38" s="71" t="s">
        <v>389</v>
      </c>
      <c r="D38" s="71" t="s">
        <v>390</v>
      </c>
      <c r="G38" s="170"/>
      <c r="H38" s="169"/>
      <c r="I38" s="170"/>
      <c r="J38" s="169"/>
    </row>
    <row r="39" spans="1:10">
      <c r="A39" s="12">
        <v>3</v>
      </c>
      <c r="B39" s="71" t="s">
        <v>391</v>
      </c>
      <c r="C39" s="71" t="s">
        <v>389</v>
      </c>
      <c r="D39" s="71" t="s">
        <v>44</v>
      </c>
      <c r="G39" s="170" t="s">
        <v>109</v>
      </c>
      <c r="H39" s="169" t="s">
        <v>287</v>
      </c>
      <c r="I39" s="170" t="s">
        <v>129</v>
      </c>
      <c r="J39" s="169" t="s">
        <v>309</v>
      </c>
    </row>
    <row r="40" spans="1:10">
      <c r="A40" s="12">
        <v>4</v>
      </c>
      <c r="B40" s="71" t="s">
        <v>392</v>
      </c>
      <c r="C40" s="71" t="s">
        <v>389</v>
      </c>
      <c r="D40" s="71" t="s">
        <v>195</v>
      </c>
      <c r="G40" s="170" t="s">
        <v>117</v>
      </c>
      <c r="H40" s="169" t="s">
        <v>328</v>
      </c>
      <c r="I40" s="170" t="s">
        <v>134</v>
      </c>
      <c r="J40" s="169" t="s">
        <v>321</v>
      </c>
    </row>
    <row r="41" spans="1:10">
      <c r="A41" s="12">
        <v>5</v>
      </c>
      <c r="B41" s="71" t="s">
        <v>393</v>
      </c>
      <c r="C41" s="71" t="s">
        <v>389</v>
      </c>
      <c r="D41" s="71" t="s">
        <v>213</v>
      </c>
    </row>
    <row r="42" spans="1:10">
      <c r="A42" s="12">
        <v>6</v>
      </c>
      <c r="B42" s="71" t="s">
        <v>394</v>
      </c>
      <c r="C42" s="71" t="s">
        <v>389</v>
      </c>
      <c r="D42" s="71" t="s">
        <v>216</v>
      </c>
      <c r="G42" s="171" t="s">
        <v>947</v>
      </c>
      <c r="H42" s="170" t="s">
        <v>948</v>
      </c>
      <c r="I42" s="170"/>
      <c r="J42" s="170" t="s">
        <v>948</v>
      </c>
    </row>
    <row r="43" spans="1:10">
      <c r="A43" s="12">
        <v>7</v>
      </c>
      <c r="B43" s="71" t="s">
        <v>395</v>
      </c>
      <c r="C43" s="71" t="s">
        <v>389</v>
      </c>
      <c r="D43" s="71" t="s">
        <v>144</v>
      </c>
      <c r="G43" s="170" t="s">
        <v>105</v>
      </c>
      <c r="H43" s="170"/>
      <c r="I43" s="170" t="s">
        <v>111</v>
      </c>
      <c r="J43" s="169"/>
    </row>
    <row r="44" spans="1:10">
      <c r="A44" s="12">
        <v>8</v>
      </c>
      <c r="B44" s="71" t="s">
        <v>396</v>
      </c>
      <c r="C44" s="71" t="s">
        <v>387</v>
      </c>
      <c r="D44" s="71" t="s">
        <v>144</v>
      </c>
      <c r="G44" s="170" t="s">
        <v>109</v>
      </c>
      <c r="H44" s="170"/>
      <c r="I44" s="170" t="s">
        <v>129</v>
      </c>
      <c r="J44" s="169"/>
    </row>
    <row r="45" spans="1:10">
      <c r="A45" s="12">
        <v>9</v>
      </c>
      <c r="B45" s="71" t="s">
        <v>397</v>
      </c>
      <c r="C45" s="71" t="s">
        <v>387</v>
      </c>
      <c r="D45" s="71" t="s">
        <v>182</v>
      </c>
      <c r="G45" s="170" t="s">
        <v>117</v>
      </c>
      <c r="H45" s="170"/>
      <c r="I45" s="170" t="s">
        <v>134</v>
      </c>
      <c r="J45" s="169"/>
    </row>
    <row r="46" spans="1:10">
      <c r="A46" s="12">
        <v>10</v>
      </c>
      <c r="B46" s="71" t="s">
        <v>398</v>
      </c>
      <c r="C46" s="71" t="s">
        <v>387</v>
      </c>
      <c r="D46" s="71" t="s">
        <v>170</v>
      </c>
      <c r="G46" s="170" t="s">
        <v>124</v>
      </c>
      <c r="H46" s="170"/>
      <c r="I46" s="170" t="s">
        <v>374</v>
      </c>
      <c r="J46" s="169"/>
    </row>
    <row r="47" spans="1:10">
      <c r="A47" s="12">
        <v>11</v>
      </c>
      <c r="B47" s="71" t="s">
        <v>399</v>
      </c>
      <c r="C47" s="71" t="s">
        <v>387</v>
      </c>
      <c r="D47" s="71" t="s">
        <v>181</v>
      </c>
    </row>
    <row r="48" spans="1:10" ht="13.5" thickBot="1">
      <c r="A48" s="13">
        <v>12</v>
      </c>
      <c r="B48" s="73" t="s">
        <v>400</v>
      </c>
      <c r="C48" s="73" t="s">
        <v>387</v>
      </c>
      <c r="D48" s="73" t="s">
        <v>401</v>
      </c>
      <c r="G48" s="171" t="s">
        <v>79</v>
      </c>
      <c r="H48" s="169"/>
      <c r="I48" s="169"/>
      <c r="J48" s="169"/>
    </row>
    <row r="49" spans="1:10" ht="13.5" thickBot="1">
      <c r="G49" s="169" t="s">
        <v>949</v>
      </c>
      <c r="H49" s="169"/>
      <c r="I49" s="169" t="s">
        <v>951</v>
      </c>
      <c r="J49" s="169"/>
    </row>
    <row r="50" spans="1:10">
      <c r="A50" s="528" t="s">
        <v>302</v>
      </c>
      <c r="B50" s="529"/>
      <c r="C50" s="529"/>
      <c r="D50" s="529"/>
      <c r="E50" s="5" t="s">
        <v>301</v>
      </c>
      <c r="G50" s="169" t="s">
        <v>950</v>
      </c>
      <c r="H50" s="169"/>
      <c r="I50" s="169" t="s">
        <v>952</v>
      </c>
      <c r="J50" s="169"/>
    </row>
    <row r="51" spans="1:10">
      <c r="A51" s="77" t="s">
        <v>1</v>
      </c>
      <c r="B51" s="78" t="s">
        <v>23</v>
      </c>
      <c r="C51" s="78" t="s">
        <v>24</v>
      </c>
      <c r="D51" s="78" t="s">
        <v>25</v>
      </c>
    </row>
    <row r="52" spans="1:10">
      <c r="A52" s="14">
        <v>1</v>
      </c>
      <c r="B52" s="75" t="s">
        <v>402</v>
      </c>
      <c r="C52" s="75" t="s">
        <v>403</v>
      </c>
      <c r="D52" s="75" t="s">
        <v>178</v>
      </c>
    </row>
    <row r="53" spans="1:10">
      <c r="A53" s="12">
        <v>2</v>
      </c>
      <c r="B53" s="71" t="s">
        <v>340</v>
      </c>
      <c r="C53" s="71" t="s">
        <v>403</v>
      </c>
      <c r="D53" s="71" t="s">
        <v>404</v>
      </c>
    </row>
    <row r="54" spans="1:10">
      <c r="A54" s="12">
        <v>3</v>
      </c>
      <c r="B54" s="71" t="s">
        <v>405</v>
      </c>
      <c r="C54" s="71" t="s">
        <v>403</v>
      </c>
      <c r="D54" s="71" t="s">
        <v>178</v>
      </c>
    </row>
    <row r="55" spans="1:10">
      <c r="A55" s="12">
        <v>4</v>
      </c>
      <c r="B55" s="71" t="s">
        <v>406</v>
      </c>
      <c r="C55" s="71" t="s">
        <v>403</v>
      </c>
      <c r="D55" s="71" t="s">
        <v>368</v>
      </c>
    </row>
    <row r="56" spans="1:10">
      <c r="A56" s="12">
        <v>5</v>
      </c>
      <c r="B56" s="71" t="s">
        <v>407</v>
      </c>
      <c r="C56" s="71" t="s">
        <v>403</v>
      </c>
      <c r="D56" s="71" t="s">
        <v>207</v>
      </c>
    </row>
    <row r="57" spans="1:10">
      <c r="A57" s="12">
        <v>6</v>
      </c>
      <c r="B57" s="71" t="s">
        <v>408</v>
      </c>
      <c r="C57" s="71" t="s">
        <v>403</v>
      </c>
      <c r="D57" s="71" t="s">
        <v>170</v>
      </c>
    </row>
    <row r="58" spans="1:10">
      <c r="A58" s="12">
        <v>7</v>
      </c>
      <c r="B58" s="71" t="s">
        <v>409</v>
      </c>
      <c r="C58" s="71" t="s">
        <v>403</v>
      </c>
      <c r="D58" s="71" t="s">
        <v>410</v>
      </c>
    </row>
    <row r="59" spans="1:10">
      <c r="A59" s="12">
        <v>8</v>
      </c>
      <c r="B59" s="71" t="s">
        <v>411</v>
      </c>
      <c r="C59" s="71" t="s">
        <v>403</v>
      </c>
      <c r="D59" s="71" t="s">
        <v>266</v>
      </c>
    </row>
    <row r="60" spans="1:10">
      <c r="A60" s="12">
        <v>9</v>
      </c>
      <c r="B60" s="71" t="s">
        <v>412</v>
      </c>
      <c r="C60" s="71" t="s">
        <v>403</v>
      </c>
      <c r="D60" s="71" t="s">
        <v>182</v>
      </c>
    </row>
    <row r="61" spans="1:10">
      <c r="A61" s="12">
        <v>10</v>
      </c>
      <c r="B61" s="71" t="s">
        <v>413</v>
      </c>
      <c r="C61" s="71" t="s">
        <v>403</v>
      </c>
      <c r="D61" s="71" t="s">
        <v>55</v>
      </c>
    </row>
    <row r="62" spans="1:10">
      <c r="A62" s="12">
        <v>11</v>
      </c>
      <c r="B62" s="71" t="s">
        <v>414</v>
      </c>
      <c r="C62" s="71" t="s">
        <v>403</v>
      </c>
      <c r="D62" s="71" t="s">
        <v>37</v>
      </c>
    </row>
    <row r="63" spans="1:10" ht="13.5" thickBot="1">
      <c r="A63" s="13">
        <v>12</v>
      </c>
      <c r="B63" s="73" t="s">
        <v>415</v>
      </c>
      <c r="C63" s="73" t="s">
        <v>403</v>
      </c>
      <c r="D63" s="73" t="s">
        <v>870</v>
      </c>
    </row>
    <row r="64" spans="1:10" ht="13.5" thickBot="1"/>
    <row r="65" spans="1:5">
      <c r="A65" s="528" t="s">
        <v>310</v>
      </c>
      <c r="B65" s="529"/>
      <c r="C65" s="529"/>
      <c r="D65" s="529"/>
      <c r="E65" s="5" t="s">
        <v>309</v>
      </c>
    </row>
    <row r="66" spans="1:5">
      <c r="A66" s="77" t="s">
        <v>1</v>
      </c>
      <c r="B66" s="78" t="s">
        <v>23</v>
      </c>
      <c r="C66" s="78" t="s">
        <v>24</v>
      </c>
      <c r="D66" s="78" t="s">
        <v>25</v>
      </c>
    </row>
    <row r="67" spans="1:5">
      <c r="A67" s="14">
        <v>1</v>
      </c>
      <c r="B67" s="75" t="s">
        <v>416</v>
      </c>
      <c r="C67" s="75" t="s">
        <v>286</v>
      </c>
      <c r="D67" s="75" t="s">
        <v>182</v>
      </c>
    </row>
    <row r="68" spans="1:5">
      <c r="A68" s="12">
        <v>2</v>
      </c>
      <c r="B68" s="71" t="s">
        <v>417</v>
      </c>
      <c r="C68" s="71" t="s">
        <v>286</v>
      </c>
      <c r="D68" s="71" t="s">
        <v>231</v>
      </c>
    </row>
    <row r="69" spans="1:5">
      <c r="A69" s="12">
        <v>3</v>
      </c>
      <c r="B69" s="71" t="s">
        <v>418</v>
      </c>
      <c r="C69" s="71" t="s">
        <v>286</v>
      </c>
      <c r="D69" s="71" t="s">
        <v>410</v>
      </c>
    </row>
    <row r="70" spans="1:5">
      <c r="A70" s="12">
        <v>4</v>
      </c>
      <c r="B70" s="71" t="s">
        <v>419</v>
      </c>
      <c r="C70" s="71" t="s">
        <v>286</v>
      </c>
      <c r="D70" s="71" t="s">
        <v>207</v>
      </c>
    </row>
    <row r="71" spans="1:5">
      <c r="A71" s="12">
        <v>5</v>
      </c>
      <c r="B71" s="71" t="s">
        <v>420</v>
      </c>
      <c r="C71" s="71" t="s">
        <v>286</v>
      </c>
      <c r="D71" s="71" t="s">
        <v>46</v>
      </c>
    </row>
    <row r="72" spans="1:5">
      <c r="A72" s="12">
        <v>6</v>
      </c>
      <c r="B72" s="71" t="s">
        <v>421</v>
      </c>
      <c r="C72" s="71" t="s">
        <v>286</v>
      </c>
      <c r="D72" s="71" t="s">
        <v>210</v>
      </c>
    </row>
    <row r="73" spans="1:5">
      <c r="A73" s="12">
        <v>7</v>
      </c>
      <c r="B73" s="71" t="s">
        <v>422</v>
      </c>
      <c r="C73" s="71" t="s">
        <v>286</v>
      </c>
      <c r="D73" s="71" t="s">
        <v>187</v>
      </c>
    </row>
    <row r="74" spans="1:5">
      <c r="A74" s="12">
        <v>8</v>
      </c>
      <c r="B74" s="71" t="s">
        <v>423</v>
      </c>
      <c r="C74" s="71" t="s">
        <v>286</v>
      </c>
      <c r="D74" s="71" t="s">
        <v>368</v>
      </c>
    </row>
    <row r="75" spans="1:5">
      <c r="A75" s="12">
        <v>9</v>
      </c>
      <c r="B75" s="71" t="s">
        <v>424</v>
      </c>
      <c r="C75" s="71" t="s">
        <v>286</v>
      </c>
      <c r="D75" s="71" t="s">
        <v>210</v>
      </c>
    </row>
    <row r="76" spans="1:5">
      <c r="A76" s="12">
        <v>10</v>
      </c>
      <c r="B76" s="71" t="s">
        <v>425</v>
      </c>
      <c r="C76" s="71" t="s">
        <v>292</v>
      </c>
      <c r="D76" s="71" t="s">
        <v>55</v>
      </c>
    </row>
    <row r="77" spans="1:5">
      <c r="A77" s="12">
        <v>11</v>
      </c>
      <c r="B77" s="71" t="s">
        <v>426</v>
      </c>
      <c r="C77" s="71" t="s">
        <v>292</v>
      </c>
      <c r="D77" s="71" t="s">
        <v>200</v>
      </c>
    </row>
    <row r="78" spans="1:5" ht="13.5" thickBot="1">
      <c r="A78" s="13">
        <v>12</v>
      </c>
      <c r="B78" s="73" t="s">
        <v>427</v>
      </c>
      <c r="C78" s="73" t="s">
        <v>292</v>
      </c>
      <c r="D78" s="73" t="s">
        <v>213</v>
      </c>
    </row>
    <row r="79" spans="1:5" ht="13.5" thickBot="1"/>
    <row r="80" spans="1:5">
      <c r="A80" s="528" t="s">
        <v>317</v>
      </c>
      <c r="B80" s="529"/>
      <c r="C80" s="529"/>
      <c r="D80" s="529"/>
      <c r="E80" s="5" t="s">
        <v>316</v>
      </c>
    </row>
    <row r="81" spans="1:5">
      <c r="A81" s="77" t="s">
        <v>1</v>
      </c>
      <c r="B81" s="78" t="s">
        <v>23</v>
      </c>
      <c r="C81" s="78" t="s">
        <v>24</v>
      </c>
      <c r="D81" s="78" t="s">
        <v>25</v>
      </c>
    </row>
    <row r="82" spans="1:5">
      <c r="A82" s="14">
        <v>1</v>
      </c>
      <c r="B82" s="75" t="s">
        <v>428</v>
      </c>
      <c r="C82" s="75" t="s">
        <v>253</v>
      </c>
      <c r="D82" s="75" t="s">
        <v>429</v>
      </c>
    </row>
    <row r="83" spans="1:5">
      <c r="A83" s="12">
        <v>2</v>
      </c>
      <c r="B83" s="71" t="s">
        <v>430</v>
      </c>
      <c r="C83" s="71" t="s">
        <v>253</v>
      </c>
      <c r="D83" s="71" t="s">
        <v>67</v>
      </c>
    </row>
    <row r="84" spans="1:5">
      <c r="A84" s="12">
        <v>3</v>
      </c>
      <c r="B84" s="71" t="s">
        <v>431</v>
      </c>
      <c r="C84" s="71" t="s">
        <v>253</v>
      </c>
      <c r="D84" s="71" t="s">
        <v>59</v>
      </c>
    </row>
    <row r="85" spans="1:5">
      <c r="A85" s="12">
        <v>4</v>
      </c>
      <c r="B85" s="71" t="s">
        <v>259</v>
      </c>
      <c r="C85" s="71" t="s">
        <v>256</v>
      </c>
      <c r="D85" s="71" t="s">
        <v>260</v>
      </c>
    </row>
    <row r="86" spans="1:5">
      <c r="A86" s="12">
        <v>5</v>
      </c>
      <c r="B86" s="71" t="s">
        <v>432</v>
      </c>
      <c r="C86" s="71" t="s">
        <v>256</v>
      </c>
      <c r="D86" s="71" t="s">
        <v>226</v>
      </c>
    </row>
    <row r="87" spans="1:5">
      <c r="A87" s="12">
        <v>6</v>
      </c>
      <c r="B87" s="71" t="s">
        <v>433</v>
      </c>
      <c r="C87" s="71" t="s">
        <v>256</v>
      </c>
      <c r="D87" s="71" t="s">
        <v>276</v>
      </c>
    </row>
    <row r="88" spans="1:5">
      <c r="A88" s="12">
        <v>7</v>
      </c>
      <c r="B88" s="71" t="s">
        <v>434</v>
      </c>
      <c r="C88" s="71" t="s">
        <v>256</v>
      </c>
      <c r="D88" s="71" t="s">
        <v>182</v>
      </c>
    </row>
    <row r="89" spans="1:5">
      <c r="A89" s="12">
        <v>8</v>
      </c>
      <c r="B89" s="71" t="s">
        <v>435</v>
      </c>
      <c r="C89" s="71" t="s">
        <v>256</v>
      </c>
      <c r="D89" s="71" t="s">
        <v>216</v>
      </c>
    </row>
    <row r="90" spans="1:5">
      <c r="A90" s="12">
        <v>9</v>
      </c>
      <c r="B90" s="71" t="s">
        <v>436</v>
      </c>
      <c r="C90" s="71" t="s">
        <v>256</v>
      </c>
      <c r="D90" s="71" t="s">
        <v>315</v>
      </c>
    </row>
    <row r="91" spans="1:5">
      <c r="A91" s="12">
        <v>10</v>
      </c>
      <c r="B91" s="71" t="s">
        <v>274</v>
      </c>
      <c r="C91" s="71" t="s">
        <v>272</v>
      </c>
      <c r="D91" s="71" t="s">
        <v>207</v>
      </c>
    </row>
    <row r="92" spans="1:5">
      <c r="A92" s="12">
        <v>11</v>
      </c>
      <c r="B92" s="71" t="s">
        <v>437</v>
      </c>
      <c r="C92" s="71" t="s">
        <v>272</v>
      </c>
      <c r="D92" s="71" t="s">
        <v>390</v>
      </c>
    </row>
    <row r="93" spans="1:5" ht="13.5" thickBot="1">
      <c r="A93" s="13">
        <v>12</v>
      </c>
      <c r="B93" s="73" t="s">
        <v>438</v>
      </c>
      <c r="C93" s="73" t="s">
        <v>272</v>
      </c>
      <c r="D93" s="73" t="s">
        <v>55</v>
      </c>
    </row>
    <row r="94" spans="1:5" ht="13.5" thickBot="1"/>
    <row r="95" spans="1:5">
      <c r="A95" s="528" t="s">
        <v>323</v>
      </c>
      <c r="B95" s="529"/>
      <c r="C95" s="529"/>
      <c r="D95" s="529"/>
      <c r="E95" s="5" t="s">
        <v>321</v>
      </c>
    </row>
    <row r="96" spans="1:5">
      <c r="A96" s="77" t="s">
        <v>1</v>
      </c>
      <c r="B96" s="78" t="s">
        <v>23</v>
      </c>
      <c r="C96" s="78" t="s">
        <v>24</v>
      </c>
      <c r="D96" s="78" t="s">
        <v>25</v>
      </c>
    </row>
    <row r="97" spans="1:5">
      <c r="A97" s="14">
        <v>1</v>
      </c>
      <c r="B97" s="75" t="s">
        <v>439</v>
      </c>
      <c r="C97" s="75" t="s">
        <v>440</v>
      </c>
      <c r="D97" s="75" t="s">
        <v>441</v>
      </c>
    </row>
    <row r="98" spans="1:5">
      <c r="A98" s="12">
        <v>2</v>
      </c>
      <c r="B98" s="71" t="s">
        <v>442</v>
      </c>
      <c r="C98" s="71" t="s">
        <v>440</v>
      </c>
      <c r="D98" s="71" t="s">
        <v>443</v>
      </c>
    </row>
    <row r="99" spans="1:5">
      <c r="A99" s="12">
        <v>3</v>
      </c>
      <c r="B99" s="71" t="s">
        <v>444</v>
      </c>
      <c r="C99" s="71" t="s">
        <v>440</v>
      </c>
      <c r="D99" s="71" t="s">
        <v>445</v>
      </c>
    </row>
    <row r="100" spans="1:5">
      <c r="A100" s="12">
        <v>4</v>
      </c>
      <c r="B100" s="71" t="s">
        <v>446</v>
      </c>
      <c r="C100" s="71" t="s">
        <v>440</v>
      </c>
      <c r="D100" s="71" t="s">
        <v>447</v>
      </c>
    </row>
    <row r="101" spans="1:5">
      <c r="A101" s="12">
        <v>5</v>
      </c>
      <c r="B101" s="71" t="s">
        <v>448</v>
      </c>
      <c r="C101" s="71" t="s">
        <v>440</v>
      </c>
      <c r="D101" s="71" t="s">
        <v>449</v>
      </c>
    </row>
    <row r="102" spans="1:5">
      <c r="A102" s="12">
        <v>6</v>
      </c>
      <c r="B102" s="71" t="s">
        <v>450</v>
      </c>
      <c r="C102" s="71" t="s">
        <v>440</v>
      </c>
      <c r="D102" s="71" t="s">
        <v>451</v>
      </c>
    </row>
    <row r="103" spans="1:5">
      <c r="A103" s="12">
        <v>7</v>
      </c>
      <c r="B103" s="71" t="s">
        <v>452</v>
      </c>
      <c r="C103" s="71" t="s">
        <v>440</v>
      </c>
      <c r="D103" s="71" t="s">
        <v>453</v>
      </c>
    </row>
    <row r="104" spans="1:5">
      <c r="A104" s="12">
        <v>8</v>
      </c>
      <c r="B104" s="71" t="s">
        <v>454</v>
      </c>
      <c r="C104" s="71" t="s">
        <v>440</v>
      </c>
      <c r="D104" s="71" t="s">
        <v>455</v>
      </c>
    </row>
    <row r="105" spans="1:5">
      <c r="A105" s="12">
        <v>9</v>
      </c>
      <c r="B105" s="71" t="s">
        <v>456</v>
      </c>
      <c r="C105" s="71" t="s">
        <v>440</v>
      </c>
      <c r="D105" s="71" t="s">
        <v>457</v>
      </c>
    </row>
    <row r="106" spans="1:5">
      <c r="A106" s="12">
        <v>10</v>
      </c>
      <c r="B106" s="71" t="s">
        <v>458</v>
      </c>
      <c r="C106" s="71" t="s">
        <v>440</v>
      </c>
      <c r="D106" s="71" t="s">
        <v>459</v>
      </c>
    </row>
    <row r="107" spans="1:5">
      <c r="A107" s="12">
        <v>11</v>
      </c>
      <c r="B107" s="71" t="s">
        <v>460</v>
      </c>
      <c r="C107" s="71" t="s">
        <v>440</v>
      </c>
      <c r="D107" s="71" t="s">
        <v>461</v>
      </c>
    </row>
    <row r="108" spans="1:5" ht="13.5" thickBot="1">
      <c r="A108" s="13">
        <v>12</v>
      </c>
      <c r="B108" s="73" t="s">
        <v>462</v>
      </c>
      <c r="C108" s="73" t="s">
        <v>440</v>
      </c>
      <c r="D108" s="73" t="s">
        <v>463</v>
      </c>
    </row>
    <row r="109" spans="1:5" ht="13.5" thickBot="1"/>
    <row r="110" spans="1:5">
      <c r="A110" s="528" t="s">
        <v>329</v>
      </c>
      <c r="B110" s="529"/>
      <c r="C110" s="529"/>
      <c r="D110" s="529"/>
      <c r="E110" s="5" t="s">
        <v>328</v>
      </c>
    </row>
    <row r="111" spans="1:5">
      <c r="A111" s="77" t="s">
        <v>1</v>
      </c>
      <c r="B111" s="78" t="s">
        <v>23</v>
      </c>
      <c r="C111" s="78" t="s">
        <v>24</v>
      </c>
      <c r="D111" s="78" t="s">
        <v>25</v>
      </c>
    </row>
    <row r="112" spans="1:5">
      <c r="A112" s="14">
        <v>1</v>
      </c>
      <c r="B112" s="75" t="s">
        <v>464</v>
      </c>
      <c r="C112" s="75" t="s">
        <v>465</v>
      </c>
      <c r="D112" s="75" t="s">
        <v>466</v>
      </c>
    </row>
    <row r="113" spans="1:4">
      <c r="A113" s="12">
        <v>2</v>
      </c>
      <c r="B113" s="71" t="s">
        <v>467</v>
      </c>
      <c r="C113" s="71" t="s">
        <v>465</v>
      </c>
      <c r="D113" s="71" t="s">
        <v>37</v>
      </c>
    </row>
    <row r="114" spans="1:4">
      <c r="A114" s="12">
        <v>3</v>
      </c>
      <c r="B114" s="71" t="s">
        <v>468</v>
      </c>
      <c r="C114" s="71" t="s">
        <v>465</v>
      </c>
      <c r="D114" s="71" t="s">
        <v>165</v>
      </c>
    </row>
    <row r="115" spans="1:4">
      <c r="A115" s="12">
        <v>4</v>
      </c>
      <c r="B115" s="71" t="s">
        <v>891</v>
      </c>
      <c r="C115" s="71" t="s">
        <v>465</v>
      </c>
      <c r="D115" s="71" t="s">
        <v>46</v>
      </c>
    </row>
    <row r="116" spans="1:4">
      <c r="A116" s="12">
        <v>5</v>
      </c>
      <c r="B116" s="71" t="s">
        <v>890</v>
      </c>
      <c r="C116" s="71" t="s">
        <v>465</v>
      </c>
      <c r="D116" s="71" t="s">
        <v>226</v>
      </c>
    </row>
    <row r="117" spans="1:4">
      <c r="A117" s="12">
        <v>6</v>
      </c>
      <c r="B117" s="71" t="s">
        <v>889</v>
      </c>
      <c r="C117" s="71" t="s">
        <v>465</v>
      </c>
      <c r="D117" s="71" t="s">
        <v>55</v>
      </c>
    </row>
    <row r="118" spans="1:4">
      <c r="A118" s="12">
        <v>7</v>
      </c>
      <c r="B118" s="71" t="s">
        <v>888</v>
      </c>
      <c r="C118" s="71" t="s">
        <v>465</v>
      </c>
      <c r="D118" s="71" t="s">
        <v>469</v>
      </c>
    </row>
    <row r="119" spans="1:4">
      <c r="A119" s="12">
        <v>8</v>
      </c>
      <c r="B119" s="71" t="s">
        <v>470</v>
      </c>
      <c r="C119" s="71" t="s">
        <v>465</v>
      </c>
      <c r="D119" s="71" t="s">
        <v>168</v>
      </c>
    </row>
    <row r="120" spans="1:4">
      <c r="A120" s="12">
        <v>9</v>
      </c>
      <c r="B120" s="71" t="s">
        <v>471</v>
      </c>
      <c r="C120" s="71" t="s">
        <v>465</v>
      </c>
      <c r="D120" s="71" t="s">
        <v>207</v>
      </c>
    </row>
    <row r="121" spans="1:4">
      <c r="A121" s="12">
        <v>10</v>
      </c>
      <c r="B121" s="71" t="s">
        <v>887</v>
      </c>
      <c r="C121" s="71" t="s">
        <v>465</v>
      </c>
      <c r="D121" s="71" t="s">
        <v>362</v>
      </c>
    </row>
    <row r="122" spans="1:4" ht="13.5" thickBot="1">
      <c r="A122" s="13">
        <v>11</v>
      </c>
      <c r="B122" s="73" t="s">
        <v>886</v>
      </c>
      <c r="C122" s="73" t="s">
        <v>465</v>
      </c>
      <c r="D122" s="73" t="s">
        <v>55</v>
      </c>
    </row>
  </sheetData>
  <mergeCells count="21">
    <mergeCell ref="A110:D110"/>
    <mergeCell ref="A3:D3"/>
    <mergeCell ref="A6:D6"/>
    <mergeCell ref="A20:D20"/>
    <mergeCell ref="A35:D35"/>
    <mergeCell ref="A50:D50"/>
    <mergeCell ref="A65:D65"/>
    <mergeCell ref="A80:D80"/>
    <mergeCell ref="A95:D95"/>
    <mergeCell ref="H6:I6"/>
    <mergeCell ref="H7:I7"/>
    <mergeCell ref="H8:I8"/>
    <mergeCell ref="H9:I9"/>
    <mergeCell ref="H10:I10"/>
    <mergeCell ref="G17:H17"/>
    <mergeCell ref="I17:J17"/>
    <mergeCell ref="H11:I11"/>
    <mergeCell ref="H12:I12"/>
    <mergeCell ref="H13:I13"/>
    <mergeCell ref="H14:I14"/>
    <mergeCell ref="G16:J16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6"/>
  <sheetViews>
    <sheetView topLeftCell="A10" workbookViewId="0">
      <selection activeCell="C73" sqref="C73"/>
    </sheetView>
  </sheetViews>
  <sheetFormatPr defaultColWidth="14.42578125" defaultRowHeight="12.75"/>
  <cols>
    <col min="1" max="1" width="11" style="5" customWidth="1"/>
    <col min="2" max="2" width="23.5703125" style="5" bestFit="1" customWidth="1"/>
    <col min="3" max="3" width="27.28515625" style="5" bestFit="1" customWidth="1"/>
    <col min="4" max="4" width="24.5703125" style="5" bestFit="1" customWidth="1"/>
    <col min="5" max="5" width="26.140625" style="5" customWidth="1"/>
    <col min="6" max="6" width="23.85546875" style="5" bestFit="1" customWidth="1"/>
    <col min="7" max="7" width="5.7109375" style="5" bestFit="1" customWidth="1"/>
    <col min="8" max="8" width="1.85546875" style="5" bestFit="1" customWidth="1"/>
    <col min="9" max="9" width="17" style="5" bestFit="1" customWidth="1"/>
    <col min="10" max="10" width="2.42578125" style="5" customWidth="1"/>
    <col min="11" max="11" width="11.140625" style="5" bestFit="1" customWidth="1"/>
    <col min="12" max="12" width="17.7109375" style="5" bestFit="1" customWidth="1"/>
    <col min="13" max="13" width="5.7109375" style="5" bestFit="1" customWidth="1"/>
    <col min="14" max="14" width="19.85546875" style="5" bestFit="1" customWidth="1"/>
    <col min="15" max="28" width="8.7109375" style="5" customWidth="1"/>
    <col min="29" max="16384" width="14.42578125" style="5"/>
  </cols>
  <sheetData>
    <row r="1" spans="1:14">
      <c r="A1" s="5" t="s">
        <v>865</v>
      </c>
    </row>
    <row r="3" spans="1:14" ht="18">
      <c r="A3" s="537" t="s">
        <v>927</v>
      </c>
      <c r="B3" s="538"/>
      <c r="C3" s="538"/>
      <c r="D3" s="538"/>
      <c r="E3" s="82"/>
      <c r="F3" s="82"/>
      <c r="G3" s="60"/>
      <c r="K3" s="570"/>
      <c r="L3" s="573"/>
      <c r="M3" s="573"/>
      <c r="N3" s="573"/>
    </row>
    <row r="4" spans="1:14" ht="18.75" thickBot="1">
      <c r="A4" s="59"/>
      <c r="B4" s="60"/>
      <c r="C4" s="60"/>
      <c r="D4" s="60"/>
      <c r="E4" s="82"/>
      <c r="F4" s="82"/>
      <c r="G4" s="60"/>
      <c r="K4" s="570" t="s">
        <v>894</v>
      </c>
      <c r="L4" s="570"/>
      <c r="M4" s="570"/>
      <c r="N4" s="570"/>
    </row>
    <row r="5" spans="1:14">
      <c r="A5" s="79" t="s">
        <v>1</v>
      </c>
      <c r="B5" s="80" t="s">
        <v>23</v>
      </c>
      <c r="C5" s="80" t="s">
        <v>24</v>
      </c>
      <c r="D5" s="81" t="s">
        <v>25</v>
      </c>
      <c r="E5" s="115" t="s">
        <v>897</v>
      </c>
      <c r="F5" s="89"/>
      <c r="G5" s="567" t="s">
        <v>893</v>
      </c>
      <c r="H5" s="568"/>
      <c r="I5" s="569"/>
      <c r="J5" s="89"/>
      <c r="K5" s="574" t="s">
        <v>87</v>
      </c>
      <c r="L5" s="575"/>
      <c r="M5" s="576" t="s">
        <v>95</v>
      </c>
      <c r="N5" s="577"/>
    </row>
    <row r="6" spans="1:14">
      <c r="A6" s="14">
        <v>1</v>
      </c>
      <c r="B6" s="75" t="s">
        <v>472</v>
      </c>
      <c r="C6" s="75" t="s">
        <v>473</v>
      </c>
      <c r="D6" s="76" t="s">
        <v>474</v>
      </c>
      <c r="E6" s="86" t="s">
        <v>73</v>
      </c>
      <c r="F6" s="30"/>
      <c r="G6" s="571" t="s">
        <v>475</v>
      </c>
      <c r="H6" s="90">
        <v>1</v>
      </c>
      <c r="I6" s="91" t="str">
        <f>E9</f>
        <v>BB.M.04_DCH (Hùng)</v>
      </c>
      <c r="J6" s="30"/>
      <c r="K6" s="41" t="s">
        <v>105</v>
      </c>
      <c r="L6" s="42" t="s">
        <v>895</v>
      </c>
      <c r="M6" s="98" t="s">
        <v>111</v>
      </c>
      <c r="N6" s="99" t="s">
        <v>896</v>
      </c>
    </row>
    <row r="7" spans="1:14">
      <c r="A7" s="12">
        <v>2</v>
      </c>
      <c r="B7" s="71" t="s">
        <v>476</v>
      </c>
      <c r="C7" s="71" t="s">
        <v>477</v>
      </c>
      <c r="D7" s="72" t="s">
        <v>59</v>
      </c>
      <c r="E7" s="87" t="s">
        <v>478</v>
      </c>
      <c r="F7" s="30"/>
      <c r="G7" s="572"/>
      <c r="H7" s="92">
        <v>2</v>
      </c>
      <c r="I7" s="93" t="str">
        <f>E13</f>
        <v>BB.M.07_HUE (Phú)</v>
      </c>
      <c r="J7" s="30"/>
      <c r="K7" s="43" t="s">
        <v>109</v>
      </c>
      <c r="L7" s="44" t="str">
        <f>E7</f>
        <v>BB.M.02_CCHN (Xuân)</v>
      </c>
      <c r="M7" s="100" t="s">
        <v>129</v>
      </c>
      <c r="N7" s="101" t="str">
        <f>E12</f>
        <v>BB.M.06_HMA (Tuấn Anh)</v>
      </c>
    </row>
    <row r="8" spans="1:14">
      <c r="A8" s="12">
        <v>3</v>
      </c>
      <c r="B8" s="71" t="s">
        <v>479</v>
      </c>
      <c r="C8" s="71" t="s">
        <v>480</v>
      </c>
      <c r="D8" s="72" t="s">
        <v>178</v>
      </c>
      <c r="E8" s="87" t="s">
        <v>481</v>
      </c>
      <c r="F8" s="30"/>
      <c r="G8" s="565" t="s">
        <v>483</v>
      </c>
      <c r="H8" s="94">
        <v>3</v>
      </c>
      <c r="I8" s="95" t="str">
        <f>E10</f>
        <v>BB.M.04_HNO (Tuấn)</v>
      </c>
      <c r="J8" s="30"/>
      <c r="K8" s="43" t="s">
        <v>117</v>
      </c>
      <c r="L8" s="44" t="str">
        <f>E15</f>
        <v>BB.M.08_NTC (Cung)</v>
      </c>
      <c r="M8" s="100" t="s">
        <v>134</v>
      </c>
      <c r="N8" s="101" t="str">
        <f>E6</f>
        <v>BB.M.01_BNI (Toàn)</v>
      </c>
    </row>
    <row r="9" spans="1:14" ht="13.5" thickBot="1">
      <c r="A9" s="12">
        <v>4</v>
      </c>
      <c r="B9" s="84" t="s">
        <v>482</v>
      </c>
      <c r="C9" s="84" t="s">
        <v>480</v>
      </c>
      <c r="D9" s="85" t="s">
        <v>213</v>
      </c>
      <c r="E9" s="87" t="s">
        <v>876</v>
      </c>
      <c r="F9" s="30"/>
      <c r="G9" s="566"/>
      <c r="H9" s="96">
        <v>4</v>
      </c>
      <c r="I9" s="97" t="str">
        <f>E14</f>
        <v>BB.M.07_NTR (Trạng)</v>
      </c>
      <c r="J9" s="30"/>
      <c r="K9" s="45" t="s">
        <v>124</v>
      </c>
      <c r="L9" s="46" t="str">
        <f>E8</f>
        <v>BB.M.03_DCH (Quý)</v>
      </c>
      <c r="M9" s="102" t="s">
        <v>374</v>
      </c>
      <c r="N9" s="103" t="str">
        <f>E11</f>
        <v>BB.M.05_DNA (Hoàng)</v>
      </c>
    </row>
    <row r="10" spans="1:14">
      <c r="A10" s="12">
        <v>5</v>
      </c>
      <c r="B10" s="84" t="s">
        <v>345</v>
      </c>
      <c r="C10" s="84" t="s">
        <v>339</v>
      </c>
      <c r="D10" s="85" t="s">
        <v>346</v>
      </c>
      <c r="E10" s="87" t="s">
        <v>877</v>
      </c>
      <c r="F10" s="30"/>
    </row>
    <row r="11" spans="1:14">
      <c r="A11" s="12">
        <v>6</v>
      </c>
      <c r="B11" s="71" t="s">
        <v>204</v>
      </c>
      <c r="C11" s="71" t="s">
        <v>194</v>
      </c>
      <c r="D11" s="72" t="s">
        <v>46</v>
      </c>
      <c r="E11" s="87" t="s">
        <v>484</v>
      </c>
      <c r="F11" s="30"/>
      <c r="K11" s="171" t="s">
        <v>946</v>
      </c>
      <c r="L11" s="169"/>
      <c r="M11" s="169"/>
      <c r="N11" s="169"/>
    </row>
    <row r="12" spans="1:14">
      <c r="A12" s="12">
        <v>7</v>
      </c>
      <c r="B12" s="71" t="s">
        <v>485</v>
      </c>
      <c r="C12" s="71" t="s">
        <v>486</v>
      </c>
      <c r="D12" s="72" t="s">
        <v>165</v>
      </c>
      <c r="E12" s="87" t="s">
        <v>487</v>
      </c>
      <c r="F12" s="30"/>
      <c r="K12" s="170" t="s">
        <v>105</v>
      </c>
      <c r="L12" s="169" t="s">
        <v>895</v>
      </c>
      <c r="M12" s="170" t="s">
        <v>111</v>
      </c>
      <c r="N12" s="169" t="s">
        <v>896</v>
      </c>
    </row>
    <row r="13" spans="1:14">
      <c r="A13" s="12">
        <v>8</v>
      </c>
      <c r="B13" s="84" t="s">
        <v>488</v>
      </c>
      <c r="C13" s="84" t="s">
        <v>489</v>
      </c>
      <c r="D13" s="85" t="s">
        <v>226</v>
      </c>
      <c r="E13" s="87" t="s">
        <v>878</v>
      </c>
      <c r="F13" s="30"/>
      <c r="K13" s="170" t="s">
        <v>109</v>
      </c>
      <c r="L13" s="169" t="s">
        <v>478</v>
      </c>
      <c r="M13" s="170" t="s">
        <v>129</v>
      </c>
      <c r="N13" s="169" t="s">
        <v>487</v>
      </c>
    </row>
    <row r="14" spans="1:14">
      <c r="A14" s="12">
        <v>9</v>
      </c>
      <c r="B14" s="84" t="s">
        <v>291</v>
      </c>
      <c r="C14" s="84" t="s">
        <v>292</v>
      </c>
      <c r="D14" s="85" t="s">
        <v>165</v>
      </c>
      <c r="E14" s="87" t="s">
        <v>879</v>
      </c>
      <c r="F14" s="30"/>
      <c r="K14" s="170"/>
      <c r="L14" s="169"/>
      <c r="M14" s="170"/>
      <c r="N14" s="169"/>
    </row>
    <row r="15" spans="1:14" ht="13.5" thickBot="1">
      <c r="A15" s="13">
        <v>10</v>
      </c>
      <c r="B15" s="73" t="s">
        <v>490</v>
      </c>
      <c r="C15" s="73" t="s">
        <v>491</v>
      </c>
      <c r="D15" s="74" t="s">
        <v>165</v>
      </c>
      <c r="E15" s="88" t="s">
        <v>492</v>
      </c>
      <c r="F15" s="30"/>
      <c r="K15" s="170" t="s">
        <v>117</v>
      </c>
      <c r="L15" s="169" t="s">
        <v>492</v>
      </c>
      <c r="M15" s="170" t="s">
        <v>134</v>
      </c>
      <c r="N15" s="169" t="s">
        <v>73</v>
      </c>
    </row>
    <row r="16" spans="1:14">
      <c r="K16" s="170" t="s">
        <v>124</v>
      </c>
      <c r="L16" s="169" t="s">
        <v>481</v>
      </c>
      <c r="M16" s="170" t="s">
        <v>374</v>
      </c>
      <c r="N16" s="169" t="s">
        <v>484</v>
      </c>
    </row>
    <row r="17" spans="1:14">
      <c r="K17" s="170"/>
      <c r="L17" s="169"/>
      <c r="M17" s="170"/>
      <c r="N17" s="169"/>
    </row>
    <row r="18" spans="1:14" ht="18">
      <c r="A18" s="539" t="s">
        <v>493</v>
      </c>
      <c r="B18" s="538"/>
      <c r="C18" s="538"/>
      <c r="D18" s="538"/>
      <c r="E18" s="7"/>
      <c r="F18" s="7"/>
      <c r="K18" s="170" t="s">
        <v>105</v>
      </c>
      <c r="L18" s="169" t="s">
        <v>895</v>
      </c>
      <c r="M18" s="170" t="s">
        <v>111</v>
      </c>
      <c r="N18" s="169" t="s">
        <v>896</v>
      </c>
    </row>
    <row r="19" spans="1:14" ht="18.75" thickBot="1">
      <c r="A19" s="63"/>
      <c r="B19" s="62"/>
      <c r="C19" s="62"/>
      <c r="D19" s="62"/>
      <c r="E19" s="7"/>
      <c r="F19" s="7"/>
      <c r="K19" s="170" t="s">
        <v>117</v>
      </c>
      <c r="L19" s="169" t="s">
        <v>492</v>
      </c>
      <c r="M19" s="170" t="s">
        <v>134</v>
      </c>
      <c r="N19" s="169" t="s">
        <v>73</v>
      </c>
    </row>
    <row r="20" spans="1:14">
      <c r="A20" s="79" t="s">
        <v>1</v>
      </c>
      <c r="B20" s="80" t="s">
        <v>23</v>
      </c>
      <c r="C20" s="80" t="s">
        <v>24</v>
      </c>
      <c r="D20" s="81" t="s">
        <v>25</v>
      </c>
      <c r="E20" s="115" t="s">
        <v>898</v>
      </c>
      <c r="K20" s="170"/>
      <c r="L20" s="169"/>
      <c r="M20" s="170"/>
      <c r="N20" s="169"/>
    </row>
    <row r="21" spans="1:14">
      <c r="A21" s="106">
        <v>1</v>
      </c>
      <c r="B21" s="107" t="s">
        <v>494</v>
      </c>
      <c r="C21" s="107" t="s">
        <v>136</v>
      </c>
      <c r="D21" s="108" t="s">
        <v>150</v>
      </c>
      <c r="E21" s="86" t="s">
        <v>77</v>
      </c>
      <c r="K21" s="170" t="s">
        <v>109</v>
      </c>
      <c r="L21" s="169" t="s">
        <v>478</v>
      </c>
      <c r="M21" s="170" t="s">
        <v>129</v>
      </c>
      <c r="N21" s="169" t="s">
        <v>487</v>
      </c>
    </row>
    <row r="22" spans="1:14">
      <c r="A22" s="109">
        <v>2</v>
      </c>
      <c r="B22" s="110" t="s">
        <v>495</v>
      </c>
      <c r="C22" s="110" t="s">
        <v>136</v>
      </c>
      <c r="D22" s="111" t="s">
        <v>150</v>
      </c>
      <c r="E22" s="87" t="s">
        <v>496</v>
      </c>
      <c r="F22" s="7"/>
      <c r="K22" s="170" t="s">
        <v>124</v>
      </c>
      <c r="L22" s="169" t="s">
        <v>481</v>
      </c>
      <c r="M22" s="170" t="s">
        <v>374</v>
      </c>
      <c r="N22" s="169" t="s">
        <v>484</v>
      </c>
    </row>
    <row r="23" spans="1:14">
      <c r="A23" s="109">
        <v>3</v>
      </c>
      <c r="B23" s="110" t="s">
        <v>498</v>
      </c>
      <c r="C23" s="110" t="s">
        <v>136</v>
      </c>
      <c r="D23" s="111" t="s">
        <v>150</v>
      </c>
      <c r="E23" s="87" t="s">
        <v>499</v>
      </c>
      <c r="F23" s="7"/>
      <c r="K23" s="170"/>
      <c r="L23" s="169"/>
      <c r="M23" s="170"/>
      <c r="N23" s="169"/>
    </row>
    <row r="24" spans="1:14">
      <c r="A24" s="109">
        <v>4</v>
      </c>
      <c r="B24" s="110" t="s">
        <v>501</v>
      </c>
      <c r="C24" s="110" t="s">
        <v>502</v>
      </c>
      <c r="D24" s="111" t="s">
        <v>239</v>
      </c>
      <c r="E24" s="87" t="s">
        <v>503</v>
      </c>
      <c r="F24" s="7"/>
      <c r="K24" s="170" t="s">
        <v>105</v>
      </c>
      <c r="L24" s="169" t="s">
        <v>895</v>
      </c>
      <c r="M24" s="170" t="s">
        <v>111</v>
      </c>
      <c r="N24" s="169" t="s">
        <v>896</v>
      </c>
    </row>
    <row r="25" spans="1:14">
      <c r="A25" s="109">
        <v>5</v>
      </c>
      <c r="B25" s="110" t="s">
        <v>505</v>
      </c>
      <c r="C25" s="110" t="s">
        <v>389</v>
      </c>
      <c r="D25" s="111" t="s">
        <v>123</v>
      </c>
      <c r="E25" s="87" t="s">
        <v>506</v>
      </c>
      <c r="F25" s="7"/>
      <c r="K25" s="170" t="s">
        <v>124</v>
      </c>
      <c r="L25" s="169" t="s">
        <v>481</v>
      </c>
      <c r="M25" s="170" t="s">
        <v>374</v>
      </c>
      <c r="N25" s="169" t="s">
        <v>484</v>
      </c>
    </row>
    <row r="26" spans="1:14">
      <c r="A26" s="109">
        <v>6</v>
      </c>
      <c r="B26" s="110" t="s">
        <v>508</v>
      </c>
      <c r="C26" s="110" t="s">
        <v>509</v>
      </c>
      <c r="D26" s="111" t="s">
        <v>266</v>
      </c>
      <c r="E26" s="87" t="s">
        <v>510</v>
      </c>
      <c r="F26" s="7"/>
      <c r="K26" s="170"/>
      <c r="L26" s="169"/>
      <c r="M26" s="170"/>
      <c r="N26" s="169"/>
    </row>
    <row r="27" spans="1:14">
      <c r="A27" s="109">
        <v>7</v>
      </c>
      <c r="B27" s="110" t="s">
        <v>511</v>
      </c>
      <c r="C27" s="110" t="s">
        <v>512</v>
      </c>
      <c r="D27" s="111" t="s">
        <v>123</v>
      </c>
      <c r="E27" s="87" t="s">
        <v>513</v>
      </c>
      <c r="F27" s="7"/>
      <c r="K27" s="170" t="s">
        <v>109</v>
      </c>
      <c r="L27" s="169" t="s">
        <v>478</v>
      </c>
      <c r="M27" s="170" t="s">
        <v>129</v>
      </c>
      <c r="N27" s="169" t="s">
        <v>487</v>
      </c>
    </row>
    <row r="28" spans="1:14">
      <c r="A28" s="109">
        <v>8</v>
      </c>
      <c r="B28" s="110" t="s">
        <v>454</v>
      </c>
      <c r="C28" s="110" t="s">
        <v>440</v>
      </c>
      <c r="D28" s="111" t="s">
        <v>455</v>
      </c>
      <c r="E28" s="87" t="s">
        <v>514</v>
      </c>
      <c r="F28" s="7"/>
      <c r="K28" s="170" t="s">
        <v>117</v>
      </c>
      <c r="L28" s="169" t="s">
        <v>492</v>
      </c>
      <c r="M28" s="170" t="s">
        <v>134</v>
      </c>
      <c r="N28" s="169" t="s">
        <v>73</v>
      </c>
    </row>
    <row r="29" spans="1:14">
      <c r="A29" s="109">
        <v>9</v>
      </c>
      <c r="B29" s="110" t="s">
        <v>515</v>
      </c>
      <c r="C29" s="110" t="s">
        <v>440</v>
      </c>
      <c r="D29" s="111" t="s">
        <v>516</v>
      </c>
      <c r="E29" s="87" t="s">
        <v>517</v>
      </c>
      <c r="F29" s="7"/>
      <c r="K29" s="127"/>
      <c r="L29" s="127"/>
      <c r="M29" s="127"/>
      <c r="N29" s="127"/>
    </row>
    <row r="30" spans="1:14">
      <c r="A30" s="109">
        <v>10</v>
      </c>
      <c r="B30" s="110" t="s">
        <v>519</v>
      </c>
      <c r="C30" s="110" t="s">
        <v>440</v>
      </c>
      <c r="D30" s="111" t="s">
        <v>520</v>
      </c>
      <c r="E30" s="87" t="s">
        <v>521</v>
      </c>
      <c r="F30" s="7"/>
      <c r="K30" s="171" t="s">
        <v>947</v>
      </c>
      <c r="L30" s="170" t="s">
        <v>948</v>
      </c>
      <c r="M30" s="170"/>
      <c r="N30" s="170" t="s">
        <v>948</v>
      </c>
    </row>
    <row r="31" spans="1:14" ht="13.5" thickBot="1">
      <c r="A31" s="112">
        <v>11</v>
      </c>
      <c r="B31" s="113" t="s">
        <v>522</v>
      </c>
      <c r="C31" s="113" t="s">
        <v>440</v>
      </c>
      <c r="D31" s="114" t="s">
        <v>523</v>
      </c>
      <c r="E31" s="88" t="s">
        <v>524</v>
      </c>
      <c r="F31" s="7"/>
      <c r="K31" s="170" t="s">
        <v>105</v>
      </c>
      <c r="L31" s="170"/>
      <c r="M31" s="170" t="s">
        <v>111</v>
      </c>
      <c r="N31" s="169"/>
    </row>
    <row r="32" spans="1:14">
      <c r="K32" s="170" t="s">
        <v>109</v>
      </c>
      <c r="L32" s="170"/>
      <c r="M32" s="170" t="s">
        <v>129</v>
      </c>
      <c r="N32" s="169"/>
    </row>
    <row r="33" spans="1:14">
      <c r="K33" s="170" t="s">
        <v>117</v>
      </c>
      <c r="L33" s="170"/>
      <c r="M33" s="170" t="s">
        <v>134</v>
      </c>
      <c r="N33" s="169"/>
    </row>
    <row r="34" spans="1:14" ht="18">
      <c r="A34" s="582" t="s">
        <v>899</v>
      </c>
      <c r="B34" s="582"/>
      <c r="C34" s="582"/>
      <c r="D34" s="582"/>
      <c r="E34" s="583"/>
      <c r="F34" s="583"/>
      <c r="G34" s="127"/>
      <c r="K34" s="170" t="s">
        <v>124</v>
      </c>
      <c r="L34" s="170"/>
      <c r="M34" s="170" t="s">
        <v>374</v>
      </c>
      <c r="N34" s="169"/>
    </row>
    <row r="35" spans="1:14">
      <c r="A35" s="578" t="s">
        <v>87</v>
      </c>
      <c r="B35" s="579"/>
      <c r="C35" s="580" t="s">
        <v>95</v>
      </c>
      <c r="D35" s="580"/>
      <c r="E35" s="581" t="s">
        <v>497</v>
      </c>
      <c r="F35" s="581"/>
      <c r="G35" s="127"/>
      <c r="K35" s="127"/>
      <c r="L35" s="127"/>
      <c r="M35" s="127"/>
      <c r="N35" s="127"/>
    </row>
    <row r="36" spans="1:14">
      <c r="A36" s="116" t="s">
        <v>105</v>
      </c>
      <c r="B36" s="117" t="str">
        <f>E26</f>
        <v>BB.F.06_SGO (Lụa)</v>
      </c>
      <c r="C36" s="120" t="s">
        <v>111</v>
      </c>
      <c r="D36" s="172" t="str">
        <f>E27</f>
        <v>BB.F.07_THO (Hiền)</v>
      </c>
      <c r="E36" s="173" t="s">
        <v>500</v>
      </c>
      <c r="F36" s="174" t="str">
        <f>E25</f>
        <v>BB.F.05_DBP (Xuân)</v>
      </c>
      <c r="G36" s="127"/>
      <c r="K36" s="171" t="s">
        <v>79</v>
      </c>
      <c r="L36" s="169"/>
      <c r="M36" s="169"/>
      <c r="N36" s="169"/>
    </row>
    <row r="37" spans="1:14">
      <c r="A37" s="116" t="s">
        <v>109</v>
      </c>
      <c r="B37" s="117" t="str">
        <f>E30</f>
        <v>BB.F.10_VPTĐ (Phương)</v>
      </c>
      <c r="C37" s="120" t="s">
        <v>129</v>
      </c>
      <c r="D37" s="172" t="str">
        <f>E31</f>
        <v>BB.F.11_VPTĐ (Nhi)</v>
      </c>
      <c r="E37" s="173" t="s">
        <v>504</v>
      </c>
      <c r="F37" s="174" t="str">
        <f>E23</f>
        <v>BB.F.03_Cienco5 và DHE (Thơ)</v>
      </c>
      <c r="G37" s="127"/>
      <c r="K37" s="169" t="s">
        <v>949</v>
      </c>
      <c r="L37" s="169"/>
      <c r="M37" s="169" t="s">
        <v>951</v>
      </c>
      <c r="N37" s="169"/>
    </row>
    <row r="38" spans="1:14">
      <c r="A38" s="116" t="s">
        <v>117</v>
      </c>
      <c r="B38" s="117" t="str">
        <f>E29</f>
        <v>BB.F.09_VPTĐ (Hạnh)</v>
      </c>
      <c r="C38" s="120" t="s">
        <v>134</v>
      </c>
      <c r="D38" s="172" t="str">
        <f>E22</f>
        <v>BB.F.02_Cienco5 và DHE (Hương)</v>
      </c>
      <c r="E38" s="173" t="s">
        <v>507</v>
      </c>
      <c r="F38" s="174" t="str">
        <f>E28</f>
        <v>BB.F.08_VPTĐ (Trang)</v>
      </c>
      <c r="G38" s="127"/>
      <c r="K38" s="169" t="s">
        <v>950</v>
      </c>
      <c r="L38" s="169"/>
      <c r="M38" s="169" t="s">
        <v>952</v>
      </c>
      <c r="N38" s="169"/>
    </row>
    <row r="39" spans="1:14">
      <c r="A39" s="116" t="s">
        <v>124</v>
      </c>
      <c r="B39" s="117" t="str">
        <f>E21</f>
        <v>BB.F.01_Cienco5 và DHE (Vân)</v>
      </c>
      <c r="C39" s="120" t="s">
        <v>374</v>
      </c>
      <c r="D39" s="172" t="str">
        <f>E24</f>
        <v>BB.F.04_CLO (Thủy)</v>
      </c>
      <c r="E39" s="173"/>
      <c r="F39" s="173"/>
      <c r="G39" s="127"/>
    </row>
    <row r="41" spans="1:14">
      <c r="A41" s="5" t="s">
        <v>900</v>
      </c>
    </row>
    <row r="42" spans="1:14">
      <c r="A42" s="5" t="s">
        <v>518</v>
      </c>
    </row>
    <row r="43" spans="1:14">
      <c r="A43" s="171" t="s">
        <v>946</v>
      </c>
      <c r="B43" s="169"/>
      <c r="C43" s="169"/>
      <c r="D43" s="169"/>
      <c r="E43" s="169"/>
      <c r="F43" s="169"/>
    </row>
    <row r="44" spans="1:14">
      <c r="A44" s="170" t="s">
        <v>105</v>
      </c>
      <c r="B44" s="169" t="s">
        <v>510</v>
      </c>
      <c r="C44" s="170" t="s">
        <v>111</v>
      </c>
      <c r="D44" s="169" t="s">
        <v>513</v>
      </c>
      <c r="E44" s="170" t="s">
        <v>500</v>
      </c>
      <c r="F44" s="169" t="s">
        <v>506</v>
      </c>
    </row>
    <row r="45" spans="1:14">
      <c r="A45" s="170" t="s">
        <v>109</v>
      </c>
      <c r="B45" s="169" t="s">
        <v>521</v>
      </c>
      <c r="C45" s="170" t="s">
        <v>129</v>
      </c>
      <c r="D45" s="169" t="s">
        <v>524</v>
      </c>
      <c r="E45" s="170" t="s">
        <v>504</v>
      </c>
      <c r="F45" s="169" t="s">
        <v>499</v>
      </c>
    </row>
    <row r="46" spans="1:14">
      <c r="A46" s="170"/>
      <c r="B46" s="169"/>
      <c r="C46" s="170"/>
      <c r="D46" s="169"/>
      <c r="E46" s="170"/>
      <c r="F46" s="169"/>
    </row>
    <row r="47" spans="1:14">
      <c r="A47" s="170" t="s">
        <v>117</v>
      </c>
      <c r="B47" s="169" t="s">
        <v>517</v>
      </c>
      <c r="C47" s="170" t="s">
        <v>134</v>
      </c>
      <c r="D47" s="169" t="s">
        <v>496</v>
      </c>
      <c r="E47" s="170" t="s">
        <v>504</v>
      </c>
      <c r="F47" s="169" t="s">
        <v>499</v>
      </c>
    </row>
    <row r="48" spans="1:14">
      <c r="A48" s="170" t="s">
        <v>124</v>
      </c>
      <c r="B48" s="169" t="s">
        <v>77</v>
      </c>
      <c r="C48" s="170" t="s">
        <v>374</v>
      </c>
      <c r="D48" s="169" t="s">
        <v>503</v>
      </c>
      <c r="E48" s="170" t="s">
        <v>507</v>
      </c>
      <c r="F48" s="169" t="s">
        <v>514</v>
      </c>
    </row>
    <row r="49" spans="1:6">
      <c r="A49" s="170"/>
      <c r="B49" s="169"/>
      <c r="C49" s="170"/>
      <c r="D49" s="169"/>
      <c r="E49" s="170"/>
      <c r="F49" s="169"/>
    </row>
    <row r="50" spans="1:6">
      <c r="A50" s="170" t="s">
        <v>105</v>
      </c>
      <c r="B50" s="169" t="s">
        <v>510</v>
      </c>
      <c r="C50" s="170" t="s">
        <v>111</v>
      </c>
      <c r="D50" s="169" t="s">
        <v>513</v>
      </c>
      <c r="E50" s="170" t="s">
        <v>507</v>
      </c>
      <c r="F50" s="169" t="s">
        <v>514</v>
      </c>
    </row>
    <row r="51" spans="1:6">
      <c r="A51" s="170" t="s">
        <v>117</v>
      </c>
      <c r="B51" s="169" t="s">
        <v>517</v>
      </c>
      <c r="C51" s="170" t="s">
        <v>134</v>
      </c>
      <c r="D51" s="169" t="s">
        <v>496</v>
      </c>
      <c r="E51" s="170" t="s">
        <v>500</v>
      </c>
      <c r="F51" s="169" t="s">
        <v>506</v>
      </c>
    </row>
    <row r="52" spans="1:6" s="127" customFormat="1">
      <c r="A52" s="170"/>
      <c r="B52" s="169"/>
      <c r="C52" s="170"/>
      <c r="D52" s="169"/>
      <c r="E52" s="169"/>
      <c r="F52" s="169"/>
    </row>
    <row r="53" spans="1:6" s="127" customFormat="1">
      <c r="A53" s="170" t="s">
        <v>109</v>
      </c>
      <c r="B53" s="169" t="s">
        <v>521</v>
      </c>
      <c r="C53" s="170" t="s">
        <v>129</v>
      </c>
      <c r="D53" s="169" t="s">
        <v>524</v>
      </c>
      <c r="E53" s="169"/>
      <c r="F53" s="169"/>
    </row>
    <row r="54" spans="1:6" s="127" customFormat="1">
      <c r="A54" s="170" t="s">
        <v>124</v>
      </c>
      <c r="B54" s="169" t="s">
        <v>77</v>
      </c>
      <c r="C54" s="170" t="s">
        <v>374</v>
      </c>
      <c r="D54" s="169" t="s">
        <v>503</v>
      </c>
      <c r="E54" s="169"/>
      <c r="F54" s="169"/>
    </row>
    <row r="55" spans="1:6" s="127" customFormat="1">
      <c r="A55" s="170"/>
      <c r="B55" s="169"/>
      <c r="C55" s="170"/>
      <c r="D55" s="169"/>
      <c r="E55" s="169"/>
      <c r="F55" s="169"/>
    </row>
    <row r="56" spans="1:6" s="127" customFormat="1">
      <c r="A56" s="170" t="s">
        <v>105</v>
      </c>
      <c r="B56" s="169" t="s">
        <v>510</v>
      </c>
      <c r="C56" s="170" t="s">
        <v>111</v>
      </c>
      <c r="D56" s="169" t="s">
        <v>513</v>
      </c>
      <c r="E56" s="169"/>
      <c r="F56" s="169"/>
    </row>
    <row r="57" spans="1:6" s="127" customFormat="1">
      <c r="A57" s="170" t="s">
        <v>124</v>
      </c>
      <c r="B57" s="169" t="s">
        <v>77</v>
      </c>
      <c r="C57" s="170" t="s">
        <v>374</v>
      </c>
      <c r="D57" s="169" t="s">
        <v>503</v>
      </c>
      <c r="E57" s="169"/>
      <c r="F57" s="169"/>
    </row>
    <row r="58" spans="1:6" s="127" customFormat="1">
      <c r="A58" s="170"/>
      <c r="B58" s="169"/>
      <c r="C58" s="170"/>
      <c r="D58" s="169"/>
      <c r="E58" s="169"/>
      <c r="F58" s="169"/>
    </row>
    <row r="59" spans="1:6" s="127" customFormat="1">
      <c r="A59" s="170" t="s">
        <v>109</v>
      </c>
      <c r="B59" s="169" t="s">
        <v>521</v>
      </c>
      <c r="C59" s="170" t="s">
        <v>129</v>
      </c>
      <c r="D59" s="169" t="s">
        <v>524</v>
      </c>
      <c r="E59" s="169"/>
      <c r="F59" s="169"/>
    </row>
    <row r="60" spans="1:6" s="127" customFormat="1">
      <c r="A60" s="170" t="s">
        <v>117</v>
      </c>
      <c r="B60" s="169" t="s">
        <v>517</v>
      </c>
      <c r="C60" s="170" t="s">
        <v>134</v>
      </c>
      <c r="D60" s="169" t="s">
        <v>496</v>
      </c>
      <c r="E60" s="169"/>
      <c r="F60" s="169"/>
    </row>
    <row r="61" spans="1:6" s="127" customFormat="1">
      <c r="A61" s="175"/>
      <c r="B61" s="30"/>
      <c r="C61" s="175"/>
      <c r="D61" s="30"/>
    </row>
    <row r="62" spans="1:6">
      <c r="A62" s="171" t="s">
        <v>947</v>
      </c>
      <c r="B62" s="170" t="s">
        <v>948</v>
      </c>
      <c r="C62" s="170"/>
      <c r="D62" s="170" t="s">
        <v>948</v>
      </c>
      <c r="E62" s="169"/>
      <c r="F62" s="170" t="s">
        <v>948</v>
      </c>
    </row>
    <row r="63" spans="1:6">
      <c r="A63" s="170" t="s">
        <v>105</v>
      </c>
      <c r="B63" s="170"/>
      <c r="C63" s="170" t="s">
        <v>111</v>
      </c>
      <c r="D63" s="169"/>
      <c r="E63" s="170" t="s">
        <v>500</v>
      </c>
      <c r="F63" s="169"/>
    </row>
    <row r="64" spans="1:6">
      <c r="A64" s="170" t="s">
        <v>109</v>
      </c>
      <c r="B64" s="170"/>
      <c r="C64" s="170" t="s">
        <v>129</v>
      </c>
      <c r="D64" s="169"/>
      <c r="E64" s="170" t="s">
        <v>504</v>
      </c>
      <c r="F64" s="169"/>
    </row>
    <row r="65" spans="1:6">
      <c r="A65" s="170" t="s">
        <v>117</v>
      </c>
      <c r="B65" s="170"/>
      <c r="C65" s="170" t="s">
        <v>134</v>
      </c>
      <c r="D65" s="169"/>
      <c r="E65" s="170" t="s">
        <v>507</v>
      </c>
      <c r="F65" s="169"/>
    </row>
    <row r="66" spans="1:6">
      <c r="A66" s="170" t="s">
        <v>124</v>
      </c>
      <c r="B66" s="170"/>
      <c r="C66" s="170" t="s">
        <v>374</v>
      </c>
      <c r="D66" s="169"/>
      <c r="E66" s="170"/>
      <c r="F66" s="169"/>
    </row>
    <row r="68" spans="1:6">
      <c r="A68" s="171" t="s">
        <v>953</v>
      </c>
      <c r="B68" s="169"/>
      <c r="E68" s="105" t="s">
        <v>78</v>
      </c>
      <c r="F68" s="105" t="s">
        <v>955</v>
      </c>
    </row>
    <row r="69" spans="1:6">
      <c r="A69" s="169" t="s">
        <v>949</v>
      </c>
      <c r="B69" s="169"/>
      <c r="D69" s="169" t="s">
        <v>949</v>
      </c>
      <c r="E69" s="169"/>
      <c r="F69" s="169"/>
    </row>
    <row r="70" spans="1:6">
      <c r="A70" s="169" t="s">
        <v>951</v>
      </c>
      <c r="B70" s="169"/>
      <c r="D70" s="169" t="s">
        <v>951</v>
      </c>
      <c r="E70" s="169"/>
      <c r="F70" s="169"/>
    </row>
    <row r="71" spans="1:6">
      <c r="A71" s="169" t="s">
        <v>954</v>
      </c>
      <c r="B71" s="169"/>
      <c r="D71" s="169"/>
      <c r="E71" s="169"/>
      <c r="F71" s="169"/>
    </row>
    <row r="72" spans="1:6">
      <c r="D72" s="169" t="s">
        <v>951</v>
      </c>
      <c r="E72" s="169"/>
      <c r="F72" s="169"/>
    </row>
    <row r="73" spans="1:6">
      <c r="D73" s="169" t="s">
        <v>954</v>
      </c>
      <c r="E73" s="169"/>
      <c r="F73" s="169"/>
    </row>
    <row r="74" spans="1:6">
      <c r="D74" s="169"/>
      <c r="E74" s="169"/>
      <c r="F74" s="169"/>
    </row>
    <row r="75" spans="1:6">
      <c r="D75" s="169" t="s">
        <v>954</v>
      </c>
      <c r="E75" s="169"/>
      <c r="F75" s="169"/>
    </row>
    <row r="76" spans="1:6">
      <c r="D76" s="169" t="s">
        <v>949</v>
      </c>
      <c r="E76" s="169"/>
      <c r="F76" s="169"/>
    </row>
  </sheetData>
  <mergeCells count="13">
    <mergeCell ref="A18:D18"/>
    <mergeCell ref="A35:B35"/>
    <mergeCell ref="C35:D35"/>
    <mergeCell ref="E35:F35"/>
    <mergeCell ref="A34:F34"/>
    <mergeCell ref="G8:G9"/>
    <mergeCell ref="G5:I5"/>
    <mergeCell ref="K4:N4"/>
    <mergeCell ref="G6:G7"/>
    <mergeCell ref="A3:D3"/>
    <mergeCell ref="K3:N3"/>
    <mergeCell ref="K5:L5"/>
    <mergeCell ref="M5:N5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9"/>
  <sheetViews>
    <sheetView topLeftCell="D4" workbookViewId="0">
      <selection activeCell="P9" sqref="P9"/>
    </sheetView>
  </sheetViews>
  <sheetFormatPr defaultColWidth="14.42578125" defaultRowHeight="12.75"/>
  <cols>
    <col min="1" max="1" width="6.140625" style="5" customWidth="1"/>
    <col min="2" max="2" width="15.7109375" style="5" bestFit="1" customWidth="1"/>
    <col min="3" max="3" width="28.42578125" style="5" bestFit="1" customWidth="1"/>
    <col min="4" max="4" width="31.5703125" style="5" bestFit="1" customWidth="1"/>
    <col min="5" max="5" width="27.85546875" style="5" hidden="1" customWidth="1"/>
    <col min="6" max="6" width="4.42578125" style="5" customWidth="1"/>
    <col min="7" max="7" width="16" style="5" bestFit="1" customWidth="1"/>
    <col min="8" max="8" width="13.85546875" style="5" bestFit="1" customWidth="1"/>
    <col min="9" max="9" width="12.42578125" style="5" bestFit="1" customWidth="1"/>
    <col min="10" max="10" width="4.42578125" style="5" bestFit="1" customWidth="1"/>
    <col min="11" max="11" width="9.42578125" style="5" bestFit="1" customWidth="1"/>
    <col min="12" max="12" width="8.28515625" style="5" bestFit="1" customWidth="1"/>
    <col min="13" max="13" width="5" style="5" customWidth="1"/>
    <col min="14" max="14" width="13.28515625" style="5" bestFit="1" customWidth="1"/>
    <col min="15" max="15" width="15.7109375" style="5" bestFit="1" customWidth="1"/>
    <col min="16" max="16" width="13.5703125" style="5" bestFit="1" customWidth="1"/>
    <col min="17" max="17" width="4.42578125" style="5" bestFit="1" customWidth="1"/>
    <col min="18" max="18" width="9.42578125" style="5" bestFit="1" customWidth="1"/>
    <col min="19" max="19" width="8.28515625" style="5" bestFit="1" customWidth="1"/>
    <col min="20" max="16384" width="14.42578125" style="5"/>
  </cols>
  <sheetData>
    <row r="1" spans="1:19">
      <c r="A1" s="5" t="s">
        <v>865</v>
      </c>
    </row>
    <row r="3" spans="1:19" ht="18">
      <c r="A3" s="537" t="s">
        <v>928</v>
      </c>
      <c r="B3" s="538"/>
      <c r="C3" s="538"/>
      <c r="D3" s="538"/>
      <c r="E3" s="82"/>
      <c r="F3" s="62"/>
      <c r="G3" s="584"/>
      <c r="H3" s="585"/>
      <c r="I3" s="585"/>
      <c r="J3" s="585"/>
    </row>
    <row r="4" spans="1:19" ht="18.75" thickBot="1">
      <c r="A4" s="61"/>
      <c r="B4" s="62"/>
      <c r="C4" s="62"/>
      <c r="D4" s="62"/>
      <c r="E4" s="82"/>
      <c r="F4" s="62"/>
      <c r="G4" s="539" t="s">
        <v>903</v>
      </c>
      <c r="H4" s="539"/>
      <c r="I4" s="539"/>
      <c r="J4" s="539"/>
      <c r="K4" s="539"/>
      <c r="L4" s="539"/>
      <c r="N4" s="539" t="s">
        <v>903</v>
      </c>
      <c r="O4" s="539"/>
      <c r="P4" s="539"/>
      <c r="Q4" s="539"/>
      <c r="R4" s="539"/>
      <c r="S4" s="539"/>
    </row>
    <row r="5" spans="1:19" ht="13.5" thickBot="1">
      <c r="A5" s="79" t="s">
        <v>1</v>
      </c>
      <c r="B5" s="80" t="s">
        <v>23</v>
      </c>
      <c r="C5" s="80" t="s">
        <v>24</v>
      </c>
      <c r="D5" s="81" t="s">
        <v>25</v>
      </c>
      <c r="E5" s="115" t="s">
        <v>901</v>
      </c>
      <c r="G5" s="138" t="s">
        <v>525</v>
      </c>
      <c r="H5" s="139"/>
      <c r="I5" s="139"/>
      <c r="J5" s="140"/>
      <c r="K5" s="139"/>
      <c r="L5" s="140"/>
      <c r="N5" s="138" t="s">
        <v>528</v>
      </c>
      <c r="O5" s="139"/>
      <c r="P5" s="139"/>
      <c r="Q5" s="140"/>
      <c r="R5" s="139"/>
      <c r="S5" s="140"/>
    </row>
    <row r="6" spans="1:19">
      <c r="A6" s="106">
        <v>1</v>
      </c>
      <c r="B6" s="107" t="s">
        <v>529</v>
      </c>
      <c r="C6" s="107" t="s">
        <v>136</v>
      </c>
      <c r="D6" s="108" t="s">
        <v>869</v>
      </c>
      <c r="E6" s="86" t="s">
        <v>530</v>
      </c>
      <c r="G6" s="132" t="s">
        <v>531</v>
      </c>
      <c r="H6" s="133" t="s">
        <v>23</v>
      </c>
      <c r="I6" s="133" t="s">
        <v>24</v>
      </c>
      <c r="J6" s="133" t="s">
        <v>526</v>
      </c>
      <c r="K6" s="133" t="s">
        <v>902</v>
      </c>
      <c r="L6" s="134" t="s">
        <v>527</v>
      </c>
      <c r="N6" s="132" t="s">
        <v>531</v>
      </c>
      <c r="O6" s="133" t="s">
        <v>23</v>
      </c>
      <c r="P6" s="133" t="s">
        <v>24</v>
      </c>
      <c r="Q6" s="133" t="s">
        <v>526</v>
      </c>
      <c r="R6" s="133" t="s">
        <v>902</v>
      </c>
      <c r="S6" s="134" t="s">
        <v>527</v>
      </c>
    </row>
    <row r="7" spans="1:19">
      <c r="A7" s="109">
        <v>2</v>
      </c>
      <c r="B7" s="110" t="s">
        <v>538</v>
      </c>
      <c r="C7" s="110" t="s">
        <v>502</v>
      </c>
      <c r="D7" s="111" t="s">
        <v>216</v>
      </c>
      <c r="E7" s="87" t="s">
        <v>85</v>
      </c>
      <c r="G7" s="14">
        <v>1</v>
      </c>
      <c r="H7" s="75" t="s">
        <v>532</v>
      </c>
      <c r="I7" s="130" t="s">
        <v>533</v>
      </c>
      <c r="J7" s="130">
        <v>2</v>
      </c>
      <c r="K7" s="130" t="s">
        <v>534</v>
      </c>
      <c r="L7" s="131">
        <v>9</v>
      </c>
      <c r="M7" s="66"/>
      <c r="N7" s="14">
        <v>1</v>
      </c>
      <c r="O7" s="75" t="s">
        <v>535</v>
      </c>
      <c r="P7" s="130" t="s">
        <v>536</v>
      </c>
      <c r="Q7" s="130">
        <v>4</v>
      </c>
      <c r="R7" s="130" t="s">
        <v>537</v>
      </c>
      <c r="S7" s="131">
        <v>10</v>
      </c>
    </row>
    <row r="8" spans="1:19">
      <c r="A8" s="109">
        <v>3</v>
      </c>
      <c r="B8" s="110" t="s">
        <v>542</v>
      </c>
      <c r="C8" s="110" t="s">
        <v>164</v>
      </c>
      <c r="D8" s="111" t="s">
        <v>178</v>
      </c>
      <c r="E8" s="87" t="s">
        <v>543</v>
      </c>
      <c r="G8" s="12">
        <v>2</v>
      </c>
      <c r="H8" s="71" t="s">
        <v>529</v>
      </c>
      <c r="I8" s="128" t="s">
        <v>136</v>
      </c>
      <c r="J8" s="128">
        <v>1</v>
      </c>
      <c r="K8" s="128" t="s">
        <v>539</v>
      </c>
      <c r="L8" s="129">
        <v>5</v>
      </c>
      <c r="M8" s="66"/>
      <c r="N8" s="12">
        <v>2</v>
      </c>
      <c r="O8" s="71" t="s">
        <v>320</v>
      </c>
      <c r="P8" s="128" t="s">
        <v>540</v>
      </c>
      <c r="Q8" s="128">
        <v>6</v>
      </c>
      <c r="R8" s="128" t="s">
        <v>541</v>
      </c>
      <c r="S8" s="129">
        <v>6</v>
      </c>
    </row>
    <row r="9" spans="1:19">
      <c r="A9" s="109">
        <v>4</v>
      </c>
      <c r="B9" s="110" t="s">
        <v>320</v>
      </c>
      <c r="C9" s="110" t="s">
        <v>263</v>
      </c>
      <c r="D9" s="111" t="s">
        <v>170</v>
      </c>
      <c r="E9" s="87" t="s">
        <v>549</v>
      </c>
      <c r="G9" s="12">
        <v>3</v>
      </c>
      <c r="H9" s="71" t="s">
        <v>544</v>
      </c>
      <c r="I9" s="128" t="s">
        <v>545</v>
      </c>
      <c r="J9" s="128">
        <v>8</v>
      </c>
      <c r="K9" s="128" t="s">
        <v>546</v>
      </c>
      <c r="L9" s="129">
        <v>2</v>
      </c>
      <c r="M9" s="66"/>
      <c r="N9" s="12">
        <v>3</v>
      </c>
      <c r="O9" s="71" t="s">
        <v>538</v>
      </c>
      <c r="P9" s="128" t="s">
        <v>547</v>
      </c>
      <c r="Q9" s="128">
        <v>5</v>
      </c>
      <c r="R9" s="128" t="s">
        <v>548</v>
      </c>
      <c r="S9" s="129">
        <v>1</v>
      </c>
    </row>
    <row r="10" spans="1:19">
      <c r="A10" s="109">
        <v>5</v>
      </c>
      <c r="B10" s="110" t="s">
        <v>555</v>
      </c>
      <c r="C10" s="110" t="s">
        <v>489</v>
      </c>
      <c r="D10" s="111" t="s">
        <v>178</v>
      </c>
      <c r="E10" s="87" t="s">
        <v>556</v>
      </c>
      <c r="G10" s="12">
        <v>4</v>
      </c>
      <c r="H10" s="71" t="s">
        <v>542</v>
      </c>
      <c r="I10" s="128" t="s">
        <v>550</v>
      </c>
      <c r="J10" s="128">
        <v>8</v>
      </c>
      <c r="K10" s="128" t="s">
        <v>551</v>
      </c>
      <c r="L10" s="129">
        <v>3</v>
      </c>
      <c r="M10" s="66"/>
      <c r="N10" s="12">
        <v>4</v>
      </c>
      <c r="O10" s="71" t="s">
        <v>552</v>
      </c>
      <c r="P10" s="128" t="s">
        <v>553</v>
      </c>
      <c r="Q10" s="128">
        <v>5</v>
      </c>
      <c r="R10" s="128" t="s">
        <v>554</v>
      </c>
      <c r="S10" s="129">
        <v>4</v>
      </c>
    </row>
    <row r="11" spans="1:19">
      <c r="A11" s="109">
        <v>6</v>
      </c>
      <c r="B11" s="110" t="s">
        <v>532</v>
      </c>
      <c r="C11" s="110" t="s">
        <v>562</v>
      </c>
      <c r="D11" s="111" t="s">
        <v>189</v>
      </c>
      <c r="E11" s="87" t="s">
        <v>563</v>
      </c>
      <c r="G11" s="12">
        <v>5</v>
      </c>
      <c r="H11" s="71" t="s">
        <v>555</v>
      </c>
      <c r="I11" s="128" t="s">
        <v>557</v>
      </c>
      <c r="J11" s="128">
        <v>6</v>
      </c>
      <c r="K11" s="128" t="s">
        <v>558</v>
      </c>
      <c r="L11" s="129">
        <v>8</v>
      </c>
      <c r="M11" s="66"/>
      <c r="N11" s="12">
        <v>5</v>
      </c>
      <c r="O11" s="71" t="s">
        <v>559</v>
      </c>
      <c r="P11" s="128" t="s">
        <v>560</v>
      </c>
      <c r="Q11" s="128">
        <v>6</v>
      </c>
      <c r="R11" s="128" t="s">
        <v>561</v>
      </c>
      <c r="S11" s="129">
        <v>7</v>
      </c>
    </row>
    <row r="12" spans="1:19" ht="13.5" thickBot="1">
      <c r="A12" s="109">
        <v>7</v>
      </c>
      <c r="B12" s="110" t="s">
        <v>559</v>
      </c>
      <c r="C12" s="110" t="s">
        <v>565</v>
      </c>
      <c r="D12" s="111" t="s">
        <v>362</v>
      </c>
      <c r="E12" s="87" t="s">
        <v>566</v>
      </c>
      <c r="G12" s="13">
        <v>6</v>
      </c>
      <c r="H12" s="73" t="s">
        <v>564</v>
      </c>
      <c r="I12" s="135"/>
      <c r="J12" s="73"/>
      <c r="K12" s="136"/>
      <c r="L12" s="137"/>
      <c r="M12" s="66"/>
      <c r="N12" s="13">
        <v>6</v>
      </c>
      <c r="O12" s="73" t="s">
        <v>564</v>
      </c>
      <c r="P12" s="136"/>
      <c r="Q12" s="73"/>
      <c r="R12" s="136"/>
      <c r="S12" s="137"/>
    </row>
    <row r="13" spans="1:19">
      <c r="A13" s="109">
        <v>8</v>
      </c>
      <c r="B13" s="110" t="s">
        <v>535</v>
      </c>
      <c r="C13" s="110" t="s">
        <v>567</v>
      </c>
      <c r="D13" s="111" t="s">
        <v>568</v>
      </c>
      <c r="E13" s="87" t="s">
        <v>569</v>
      </c>
      <c r="G13" s="5" t="s">
        <v>904</v>
      </c>
    </row>
    <row r="14" spans="1:19">
      <c r="A14" s="109">
        <v>9</v>
      </c>
      <c r="B14" s="110" t="s">
        <v>544</v>
      </c>
      <c r="C14" s="110" t="s">
        <v>509</v>
      </c>
      <c r="D14" s="111" t="s">
        <v>182</v>
      </c>
      <c r="E14" s="87" t="s">
        <v>570</v>
      </c>
    </row>
    <row r="15" spans="1:19" ht="13.5" thickBot="1">
      <c r="A15" s="112">
        <v>10</v>
      </c>
      <c r="B15" s="113" t="s">
        <v>84</v>
      </c>
      <c r="C15" s="113" t="s">
        <v>31</v>
      </c>
      <c r="D15" s="114" t="s">
        <v>59</v>
      </c>
      <c r="E15" s="88" t="s">
        <v>571</v>
      </c>
    </row>
    <row r="16" spans="1:19">
      <c r="G16" s="7"/>
    </row>
    <row r="17" spans="1:19" ht="18">
      <c r="A17" s="539" t="s">
        <v>905</v>
      </c>
      <c r="B17" s="538"/>
      <c r="C17" s="538"/>
      <c r="D17" s="538"/>
      <c r="E17" s="7"/>
      <c r="G17" s="539" t="s">
        <v>572</v>
      </c>
      <c r="H17" s="539"/>
      <c r="I17" s="539"/>
      <c r="J17" s="539"/>
      <c r="K17" s="539"/>
      <c r="L17" s="539"/>
      <c r="N17" s="539" t="s">
        <v>572</v>
      </c>
      <c r="O17" s="539"/>
      <c r="P17" s="539"/>
      <c r="Q17" s="539"/>
      <c r="R17" s="539"/>
      <c r="S17" s="539"/>
    </row>
    <row r="18" spans="1:19" ht="18.75" thickBot="1">
      <c r="A18" s="63"/>
      <c r="B18" s="62"/>
      <c r="C18" s="62"/>
      <c r="D18" s="62"/>
      <c r="E18" s="7"/>
      <c r="G18" s="138" t="s">
        <v>525</v>
      </c>
      <c r="H18" s="139"/>
      <c r="I18" s="139"/>
      <c r="J18" s="139"/>
      <c r="K18" s="139"/>
      <c r="L18" s="139"/>
      <c r="N18" s="138" t="s">
        <v>528</v>
      </c>
      <c r="O18" s="139"/>
      <c r="P18" s="139"/>
      <c r="Q18" s="139"/>
      <c r="R18" s="139"/>
      <c r="S18" s="139"/>
    </row>
    <row r="19" spans="1:19">
      <c r="A19" s="79" t="s">
        <v>1</v>
      </c>
      <c r="B19" s="80" t="s">
        <v>23</v>
      </c>
      <c r="C19" s="80" t="s">
        <v>24</v>
      </c>
      <c r="D19" s="81" t="s">
        <v>25</v>
      </c>
      <c r="E19" s="115" t="s">
        <v>906</v>
      </c>
      <c r="G19" s="132" t="s">
        <v>531</v>
      </c>
      <c r="H19" s="133" t="s">
        <v>23</v>
      </c>
      <c r="I19" s="133" t="s">
        <v>24</v>
      </c>
      <c r="J19" s="133" t="s">
        <v>526</v>
      </c>
      <c r="K19" s="133" t="s">
        <v>902</v>
      </c>
      <c r="L19" s="134" t="s">
        <v>527</v>
      </c>
      <c r="N19" s="132" t="s">
        <v>531</v>
      </c>
      <c r="O19" s="133" t="s">
        <v>23</v>
      </c>
      <c r="P19" s="133" t="s">
        <v>24</v>
      </c>
      <c r="Q19" s="133" t="s">
        <v>526</v>
      </c>
      <c r="R19" s="133" t="s">
        <v>902</v>
      </c>
      <c r="S19" s="134" t="s">
        <v>527</v>
      </c>
    </row>
    <row r="20" spans="1:19">
      <c r="A20" s="106">
        <v>1</v>
      </c>
      <c r="B20" s="107" t="s">
        <v>573</v>
      </c>
      <c r="C20" s="107" t="s">
        <v>574</v>
      </c>
      <c r="D20" s="108" t="s">
        <v>178</v>
      </c>
      <c r="E20" s="86" t="s">
        <v>575</v>
      </c>
      <c r="G20" s="14">
        <v>1</v>
      </c>
      <c r="H20" s="75" t="s">
        <v>576</v>
      </c>
      <c r="I20" s="130" t="s">
        <v>577</v>
      </c>
      <c r="J20" s="130">
        <v>3</v>
      </c>
      <c r="K20" s="130" t="s">
        <v>578</v>
      </c>
      <c r="L20" s="131">
        <v>9</v>
      </c>
      <c r="N20" s="14">
        <v>1</v>
      </c>
      <c r="O20" s="75" t="s">
        <v>579</v>
      </c>
      <c r="P20" s="130" t="s">
        <v>540</v>
      </c>
      <c r="Q20" s="130">
        <v>6</v>
      </c>
      <c r="R20" s="130" t="s">
        <v>580</v>
      </c>
      <c r="S20" s="131">
        <v>10</v>
      </c>
    </row>
    <row r="21" spans="1:19">
      <c r="A21" s="109">
        <v>2</v>
      </c>
      <c r="B21" s="110" t="s">
        <v>576</v>
      </c>
      <c r="C21" s="110" t="s">
        <v>581</v>
      </c>
      <c r="D21" s="111" t="s">
        <v>44</v>
      </c>
      <c r="E21" s="87" t="s">
        <v>582</v>
      </c>
      <c r="G21" s="12">
        <v>2</v>
      </c>
      <c r="H21" s="71" t="s">
        <v>573</v>
      </c>
      <c r="I21" s="128" t="s">
        <v>583</v>
      </c>
      <c r="J21" s="128">
        <v>1</v>
      </c>
      <c r="K21" s="128" t="s">
        <v>584</v>
      </c>
      <c r="L21" s="129">
        <v>5</v>
      </c>
      <c r="N21" s="12">
        <v>2</v>
      </c>
      <c r="O21" s="71" t="s">
        <v>532</v>
      </c>
      <c r="P21" s="128" t="s">
        <v>533</v>
      </c>
      <c r="Q21" s="128">
        <v>2</v>
      </c>
      <c r="R21" s="128" t="s">
        <v>585</v>
      </c>
      <c r="S21" s="129">
        <v>6</v>
      </c>
    </row>
    <row r="22" spans="1:19">
      <c r="A22" s="109">
        <v>3</v>
      </c>
      <c r="B22" s="110" t="s">
        <v>538</v>
      </c>
      <c r="C22" s="110" t="s">
        <v>502</v>
      </c>
      <c r="D22" s="111" t="s">
        <v>216</v>
      </c>
      <c r="E22" s="87" t="s">
        <v>586</v>
      </c>
      <c r="G22" s="12">
        <v>3</v>
      </c>
      <c r="H22" s="71" t="s">
        <v>587</v>
      </c>
      <c r="I22" s="128" t="s">
        <v>588</v>
      </c>
      <c r="J22" s="128">
        <v>2</v>
      </c>
      <c r="K22" s="128" t="s">
        <v>589</v>
      </c>
      <c r="L22" s="129">
        <v>2</v>
      </c>
      <c r="N22" s="12">
        <v>3</v>
      </c>
      <c r="O22" s="71" t="s">
        <v>538</v>
      </c>
      <c r="P22" s="128" t="s">
        <v>547</v>
      </c>
      <c r="Q22" s="128">
        <v>5</v>
      </c>
      <c r="R22" s="128" t="s">
        <v>590</v>
      </c>
      <c r="S22" s="129">
        <v>1</v>
      </c>
    </row>
    <row r="23" spans="1:19">
      <c r="A23" s="109">
        <v>4</v>
      </c>
      <c r="B23" s="110" t="s">
        <v>579</v>
      </c>
      <c r="C23" s="110" t="s">
        <v>263</v>
      </c>
      <c r="D23" s="111" t="s">
        <v>234</v>
      </c>
      <c r="E23" s="87" t="s">
        <v>591</v>
      </c>
      <c r="G23" s="12">
        <v>4</v>
      </c>
      <c r="H23" s="71" t="s">
        <v>592</v>
      </c>
      <c r="I23" s="128" t="s">
        <v>553</v>
      </c>
      <c r="J23" s="128">
        <v>5</v>
      </c>
      <c r="K23" s="128" t="s">
        <v>593</v>
      </c>
      <c r="L23" s="129">
        <v>3</v>
      </c>
      <c r="N23" s="12">
        <v>4</v>
      </c>
      <c r="O23" s="71" t="s">
        <v>594</v>
      </c>
      <c r="P23" s="128" t="s">
        <v>595</v>
      </c>
      <c r="Q23" s="128">
        <v>1</v>
      </c>
      <c r="R23" s="128" t="s">
        <v>596</v>
      </c>
      <c r="S23" s="129">
        <v>4</v>
      </c>
    </row>
    <row r="24" spans="1:19">
      <c r="A24" s="109">
        <v>5</v>
      </c>
      <c r="B24" s="110" t="s">
        <v>597</v>
      </c>
      <c r="C24" s="110" t="s">
        <v>256</v>
      </c>
      <c r="D24" s="111" t="s">
        <v>231</v>
      </c>
      <c r="E24" s="87" t="s">
        <v>598</v>
      </c>
      <c r="G24" s="12">
        <v>5</v>
      </c>
      <c r="H24" s="71" t="s">
        <v>597</v>
      </c>
      <c r="I24" s="128" t="s">
        <v>599</v>
      </c>
      <c r="J24" s="128">
        <v>3</v>
      </c>
      <c r="K24" s="128" t="s">
        <v>600</v>
      </c>
      <c r="L24" s="129">
        <v>8</v>
      </c>
      <c r="N24" s="12">
        <v>5</v>
      </c>
      <c r="O24" s="71" t="s">
        <v>45</v>
      </c>
      <c r="P24" s="128" t="s">
        <v>601</v>
      </c>
      <c r="Q24" s="128">
        <v>5</v>
      </c>
      <c r="R24" s="128" t="s">
        <v>602</v>
      </c>
      <c r="S24" s="129">
        <v>7</v>
      </c>
    </row>
    <row r="25" spans="1:19" ht="13.5" thickBot="1">
      <c r="A25" s="109">
        <v>6</v>
      </c>
      <c r="B25" s="110" t="s">
        <v>594</v>
      </c>
      <c r="C25" s="110" t="s">
        <v>351</v>
      </c>
      <c r="D25" s="111" t="s">
        <v>603</v>
      </c>
      <c r="E25" s="87" t="s">
        <v>604</v>
      </c>
      <c r="G25" s="13">
        <v>6</v>
      </c>
      <c r="H25" s="73" t="s">
        <v>564</v>
      </c>
      <c r="I25" s="135"/>
      <c r="J25" s="73"/>
      <c r="K25" s="136"/>
      <c r="L25" s="137"/>
      <c r="N25" s="13">
        <v>6</v>
      </c>
      <c r="O25" s="73" t="s">
        <v>564</v>
      </c>
      <c r="P25" s="135"/>
      <c r="Q25" s="73"/>
      <c r="R25" s="136"/>
      <c r="S25" s="137"/>
    </row>
    <row r="26" spans="1:19">
      <c r="A26" s="109">
        <v>7</v>
      </c>
      <c r="B26" s="110" t="s">
        <v>532</v>
      </c>
      <c r="C26" s="110" t="s">
        <v>562</v>
      </c>
      <c r="D26" s="111" t="s">
        <v>189</v>
      </c>
      <c r="E26" s="87" t="s">
        <v>605</v>
      </c>
    </row>
    <row r="27" spans="1:19">
      <c r="A27" s="109">
        <v>8</v>
      </c>
      <c r="B27" s="110" t="s">
        <v>45</v>
      </c>
      <c r="C27" s="110" t="s">
        <v>36</v>
      </c>
      <c r="D27" s="111" t="s">
        <v>46</v>
      </c>
      <c r="E27" s="87" t="s">
        <v>606</v>
      </c>
    </row>
    <row r="28" spans="1:19">
      <c r="A28" s="109">
        <v>9</v>
      </c>
      <c r="B28" s="110" t="s">
        <v>587</v>
      </c>
      <c r="C28" s="110" t="s">
        <v>233</v>
      </c>
      <c r="D28" s="111" t="s">
        <v>315</v>
      </c>
      <c r="E28" s="87" t="s">
        <v>607</v>
      </c>
    </row>
    <row r="29" spans="1:19" ht="13.5" thickBot="1">
      <c r="A29" s="112">
        <v>10</v>
      </c>
      <c r="B29" s="113" t="s">
        <v>592</v>
      </c>
      <c r="C29" s="113" t="s">
        <v>31</v>
      </c>
      <c r="D29" s="114" t="s">
        <v>59</v>
      </c>
      <c r="E29" s="88" t="s">
        <v>608</v>
      </c>
    </row>
  </sheetData>
  <mergeCells count="7">
    <mergeCell ref="N4:S4"/>
    <mergeCell ref="G17:L17"/>
    <mergeCell ref="N17:S17"/>
    <mergeCell ref="A3:D3"/>
    <mergeCell ref="A17:D17"/>
    <mergeCell ref="G3:J3"/>
    <mergeCell ref="G4:L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997"/>
  <sheetViews>
    <sheetView topLeftCell="F1" workbookViewId="0">
      <selection activeCell="M18" sqref="M18"/>
    </sheetView>
  </sheetViews>
  <sheetFormatPr defaultColWidth="14.42578125" defaultRowHeight="12.75"/>
  <cols>
    <col min="1" max="1" width="5.7109375" style="3" customWidth="1"/>
    <col min="2" max="2" width="17.28515625" style="3" bestFit="1" customWidth="1"/>
    <col min="3" max="3" width="28" style="3" bestFit="1" customWidth="1"/>
    <col min="4" max="4" width="25" style="3" bestFit="1" customWidth="1"/>
    <col min="5" max="5" width="27.5703125" style="3" hidden="1" customWidth="1"/>
    <col min="6" max="6" width="4.7109375" style="3" customWidth="1"/>
    <col min="7" max="7" width="13.28515625" style="3" bestFit="1" customWidth="1"/>
    <col min="8" max="8" width="17.28515625" style="3" bestFit="1" customWidth="1"/>
    <col min="9" max="9" width="12.42578125" style="3" bestFit="1" customWidth="1"/>
    <col min="10" max="10" width="4.42578125" style="3" bestFit="1" customWidth="1"/>
    <col min="11" max="11" width="13.28515625" style="3" bestFit="1" customWidth="1"/>
    <col min="12" max="12" width="8.28515625" style="3" bestFit="1" customWidth="1"/>
    <col min="13" max="13" width="3.85546875" style="3" customWidth="1"/>
    <col min="14" max="14" width="13.28515625" style="3" bestFit="1" customWidth="1"/>
    <col min="15" max="16" width="15.7109375" style="3" bestFit="1" customWidth="1"/>
    <col min="17" max="17" width="4.42578125" style="3" bestFit="1" customWidth="1"/>
    <col min="18" max="18" width="13.28515625" style="3" bestFit="1" customWidth="1"/>
    <col min="19" max="19" width="8.28515625" style="3" bestFit="1" customWidth="1"/>
    <col min="20" max="31" width="8.7109375" style="3" customWidth="1"/>
    <col min="32" max="16384" width="14.42578125" style="3"/>
  </cols>
  <sheetData>
    <row r="1" spans="1:31">
      <c r="A1" s="5" t="s">
        <v>865</v>
      </c>
    </row>
    <row r="3" spans="1:31" ht="18">
      <c r="A3" s="586" t="s">
        <v>929</v>
      </c>
      <c r="B3" s="587"/>
      <c r="C3" s="587"/>
      <c r="D3" s="587"/>
      <c r="E3" s="141"/>
      <c r="F3" s="40"/>
      <c r="G3" s="539" t="s">
        <v>609</v>
      </c>
      <c r="H3" s="539"/>
      <c r="I3" s="539"/>
      <c r="J3" s="539"/>
      <c r="K3" s="539"/>
      <c r="L3" s="539"/>
      <c r="M3" s="4"/>
      <c r="N3" s="539" t="s">
        <v>609</v>
      </c>
      <c r="O3" s="539"/>
      <c r="P3" s="539"/>
      <c r="Q3" s="539"/>
      <c r="R3" s="539"/>
      <c r="S3" s="539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s="67" customFormat="1" ht="18.75" thickBot="1">
      <c r="A4" s="64"/>
      <c r="B4" s="65"/>
      <c r="C4" s="65"/>
      <c r="D4" s="65"/>
      <c r="E4" s="141"/>
      <c r="F4" s="40"/>
      <c r="G4" s="138" t="s">
        <v>525</v>
      </c>
      <c r="H4" s="139"/>
      <c r="I4" s="139"/>
      <c r="J4" s="140"/>
      <c r="K4" s="139"/>
      <c r="L4" s="140"/>
      <c r="M4" s="4"/>
      <c r="N4" s="138" t="s">
        <v>528</v>
      </c>
      <c r="O4" s="139"/>
      <c r="P4" s="139"/>
      <c r="Q4" s="140"/>
      <c r="R4" s="139"/>
      <c r="S4" s="140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79" t="s">
        <v>1</v>
      </c>
      <c r="B5" s="80" t="s">
        <v>23</v>
      </c>
      <c r="C5" s="80" t="s">
        <v>24</v>
      </c>
      <c r="D5" s="81" t="s">
        <v>25</v>
      </c>
      <c r="E5" s="115" t="s">
        <v>907</v>
      </c>
      <c r="F5" s="4"/>
      <c r="G5" s="132" t="s">
        <v>531</v>
      </c>
      <c r="H5" s="133" t="s">
        <v>23</v>
      </c>
      <c r="I5" s="133" t="s">
        <v>24</v>
      </c>
      <c r="J5" s="133" t="s">
        <v>526</v>
      </c>
      <c r="K5" s="133" t="s">
        <v>902</v>
      </c>
      <c r="L5" s="134" t="s">
        <v>527</v>
      </c>
      <c r="M5" s="4"/>
      <c r="N5" s="132" t="s">
        <v>531</v>
      </c>
      <c r="O5" s="133" t="s">
        <v>23</v>
      </c>
      <c r="P5" s="133" t="s">
        <v>24</v>
      </c>
      <c r="Q5" s="133" t="s">
        <v>526</v>
      </c>
      <c r="R5" s="133" t="s">
        <v>902</v>
      </c>
      <c r="S5" s="134" t="s">
        <v>527</v>
      </c>
      <c r="AB5" s="4"/>
      <c r="AC5" s="4"/>
      <c r="AD5" s="4"/>
      <c r="AE5" s="4"/>
    </row>
    <row r="6" spans="1:31">
      <c r="A6" s="106">
        <v>1</v>
      </c>
      <c r="B6" s="107" t="s">
        <v>610</v>
      </c>
      <c r="C6" s="107" t="s">
        <v>611</v>
      </c>
      <c r="D6" s="108" t="s">
        <v>210</v>
      </c>
      <c r="E6" s="86" t="s">
        <v>93</v>
      </c>
      <c r="F6" s="4"/>
      <c r="G6" s="14">
        <v>1</v>
      </c>
      <c r="H6" s="75" t="s">
        <v>612</v>
      </c>
      <c r="I6" s="130" t="s">
        <v>613</v>
      </c>
      <c r="J6" s="130">
        <v>6</v>
      </c>
      <c r="K6" s="130" t="s">
        <v>614</v>
      </c>
      <c r="L6" s="131">
        <v>9</v>
      </c>
      <c r="M6" s="38"/>
      <c r="N6" s="14">
        <v>1</v>
      </c>
      <c r="O6" s="75" t="s">
        <v>615</v>
      </c>
      <c r="P6" s="130" t="s">
        <v>536</v>
      </c>
      <c r="Q6" s="130">
        <v>4</v>
      </c>
      <c r="R6" s="130" t="s">
        <v>614</v>
      </c>
      <c r="S6" s="131">
        <v>10</v>
      </c>
      <c r="AB6" s="4"/>
      <c r="AC6" s="4"/>
      <c r="AD6" s="4"/>
      <c r="AE6" s="4"/>
    </row>
    <row r="7" spans="1:31">
      <c r="A7" s="109">
        <v>2</v>
      </c>
      <c r="B7" s="110" t="s">
        <v>616</v>
      </c>
      <c r="C7" s="110" t="s">
        <v>477</v>
      </c>
      <c r="D7" s="111" t="s">
        <v>617</v>
      </c>
      <c r="E7" s="87" t="s">
        <v>618</v>
      </c>
      <c r="F7" s="4"/>
      <c r="G7" s="12">
        <v>2</v>
      </c>
      <c r="H7" s="71" t="s">
        <v>619</v>
      </c>
      <c r="I7" s="128" t="s">
        <v>620</v>
      </c>
      <c r="J7" s="128">
        <v>8</v>
      </c>
      <c r="K7" s="128" t="s">
        <v>621</v>
      </c>
      <c r="L7" s="129">
        <v>5</v>
      </c>
      <c r="M7" s="38"/>
      <c r="N7" s="12">
        <v>2</v>
      </c>
      <c r="O7" s="71" t="s">
        <v>616</v>
      </c>
      <c r="P7" s="128" t="s">
        <v>622</v>
      </c>
      <c r="Q7" s="128">
        <v>1</v>
      </c>
      <c r="R7" s="128" t="s">
        <v>623</v>
      </c>
      <c r="S7" s="129">
        <v>6</v>
      </c>
      <c r="AB7" s="4"/>
      <c r="AC7" s="4"/>
      <c r="AD7" s="4"/>
      <c r="AE7" s="4"/>
    </row>
    <row r="8" spans="1:31">
      <c r="A8" s="109">
        <v>3</v>
      </c>
      <c r="B8" s="110" t="s">
        <v>341</v>
      </c>
      <c r="C8" s="110" t="s">
        <v>339</v>
      </c>
      <c r="D8" s="111" t="s">
        <v>342</v>
      </c>
      <c r="E8" s="87" t="s">
        <v>624</v>
      </c>
      <c r="F8" s="4"/>
      <c r="G8" s="12">
        <v>3</v>
      </c>
      <c r="H8" s="71" t="s">
        <v>625</v>
      </c>
      <c r="I8" s="128" t="s">
        <v>533</v>
      </c>
      <c r="J8" s="128">
        <v>2</v>
      </c>
      <c r="K8" s="128" t="s">
        <v>626</v>
      </c>
      <c r="L8" s="129">
        <v>2</v>
      </c>
      <c r="M8" s="38"/>
      <c r="N8" s="12">
        <v>3</v>
      </c>
      <c r="O8" s="71" t="s">
        <v>592</v>
      </c>
      <c r="P8" s="128" t="s">
        <v>553</v>
      </c>
      <c r="Q8" s="128">
        <v>5</v>
      </c>
      <c r="R8" s="128" t="s">
        <v>627</v>
      </c>
      <c r="S8" s="129">
        <v>1</v>
      </c>
      <c r="AC8" s="4"/>
      <c r="AD8" s="4"/>
      <c r="AE8" s="4"/>
    </row>
    <row r="9" spans="1:31">
      <c r="A9" s="109">
        <v>4</v>
      </c>
      <c r="B9" s="110" t="s">
        <v>625</v>
      </c>
      <c r="C9" s="110" t="s">
        <v>562</v>
      </c>
      <c r="D9" s="111" t="s">
        <v>37</v>
      </c>
      <c r="E9" s="87" t="s">
        <v>628</v>
      </c>
      <c r="F9" s="4"/>
      <c r="G9" s="12">
        <v>4</v>
      </c>
      <c r="H9" s="71" t="s">
        <v>610</v>
      </c>
      <c r="I9" s="128" t="s">
        <v>629</v>
      </c>
      <c r="J9" s="128">
        <v>7</v>
      </c>
      <c r="K9" s="128" t="s">
        <v>630</v>
      </c>
      <c r="L9" s="129">
        <v>3</v>
      </c>
      <c r="M9" s="38"/>
      <c r="N9" s="12">
        <v>4</v>
      </c>
      <c r="O9" s="71" t="s">
        <v>631</v>
      </c>
      <c r="P9" s="128" t="s">
        <v>632</v>
      </c>
      <c r="Q9" s="128">
        <v>7</v>
      </c>
      <c r="R9" s="128" t="s">
        <v>633</v>
      </c>
      <c r="S9" s="129">
        <v>4</v>
      </c>
      <c r="AB9" s="4"/>
      <c r="AC9" s="4"/>
      <c r="AD9" s="4"/>
      <c r="AE9" s="4"/>
    </row>
    <row r="10" spans="1:31">
      <c r="A10" s="109">
        <v>5</v>
      </c>
      <c r="B10" s="110" t="s">
        <v>615</v>
      </c>
      <c r="C10" s="110" t="s">
        <v>567</v>
      </c>
      <c r="D10" s="111" t="s">
        <v>568</v>
      </c>
      <c r="E10" s="87" t="s">
        <v>634</v>
      </c>
      <c r="F10" s="4"/>
      <c r="G10" s="12">
        <v>5</v>
      </c>
      <c r="H10" s="71" t="s">
        <v>341</v>
      </c>
      <c r="I10" s="128" t="s">
        <v>635</v>
      </c>
      <c r="J10" s="128">
        <v>1</v>
      </c>
      <c r="K10" s="128" t="s">
        <v>636</v>
      </c>
      <c r="L10" s="129">
        <v>8</v>
      </c>
      <c r="M10" s="38"/>
      <c r="N10" s="12">
        <v>5</v>
      </c>
      <c r="O10" s="71" t="s">
        <v>637</v>
      </c>
      <c r="P10" s="128" t="s">
        <v>545</v>
      </c>
      <c r="Q10" s="128">
        <v>8</v>
      </c>
      <c r="R10" s="128" t="s">
        <v>638</v>
      </c>
      <c r="S10" s="129">
        <v>7</v>
      </c>
      <c r="AB10" s="4"/>
      <c r="AC10" s="4"/>
      <c r="AD10" s="4"/>
      <c r="AE10" s="4"/>
    </row>
    <row r="11" spans="1:31" ht="13.5" thickBot="1">
      <c r="A11" s="109">
        <v>6</v>
      </c>
      <c r="B11" s="110" t="s">
        <v>631</v>
      </c>
      <c r="C11" s="110" t="s">
        <v>639</v>
      </c>
      <c r="D11" s="111" t="s">
        <v>123</v>
      </c>
      <c r="E11" s="87" t="s">
        <v>640</v>
      </c>
      <c r="F11" s="4"/>
      <c r="G11" s="13">
        <v>6</v>
      </c>
      <c r="H11" s="73" t="s">
        <v>564</v>
      </c>
      <c r="I11" s="135"/>
      <c r="J11" s="73"/>
      <c r="K11" s="136"/>
      <c r="L11" s="137"/>
      <c r="M11" s="38"/>
      <c r="N11" s="13">
        <v>6</v>
      </c>
      <c r="O11" s="73" t="s">
        <v>564</v>
      </c>
      <c r="P11" s="135"/>
      <c r="Q11" s="73"/>
      <c r="R11" s="136"/>
      <c r="S11" s="137"/>
      <c r="AB11" s="4"/>
      <c r="AC11" s="4"/>
      <c r="AD11" s="4"/>
      <c r="AE11" s="4"/>
    </row>
    <row r="12" spans="1:31">
      <c r="A12" s="109">
        <v>7</v>
      </c>
      <c r="B12" s="110" t="s">
        <v>619</v>
      </c>
      <c r="C12" s="110" t="s">
        <v>509</v>
      </c>
      <c r="D12" s="111" t="s">
        <v>165</v>
      </c>
      <c r="E12" s="87" t="s">
        <v>641</v>
      </c>
      <c r="F12" s="4"/>
      <c r="G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>
      <c r="A13" s="109">
        <v>8</v>
      </c>
      <c r="B13" s="110" t="s">
        <v>637</v>
      </c>
      <c r="C13" s="110" t="s">
        <v>509</v>
      </c>
      <c r="D13" s="111" t="s">
        <v>55</v>
      </c>
      <c r="E13" s="87" t="s">
        <v>642</v>
      </c>
      <c r="F13" s="4"/>
      <c r="G13" s="4"/>
      <c r="M13" s="4"/>
      <c r="N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>
      <c r="A14" s="109">
        <v>9</v>
      </c>
      <c r="B14" s="110" t="s">
        <v>612</v>
      </c>
      <c r="C14" s="110" t="s">
        <v>643</v>
      </c>
      <c r="D14" s="111" t="s">
        <v>182</v>
      </c>
      <c r="E14" s="87" t="s">
        <v>644</v>
      </c>
      <c r="F14" s="4"/>
      <c r="G14" s="4"/>
      <c r="M14" s="4"/>
      <c r="N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3.5" thickBot="1">
      <c r="A15" s="112">
        <v>10</v>
      </c>
      <c r="B15" s="113" t="s">
        <v>592</v>
      </c>
      <c r="C15" s="113" t="s">
        <v>31</v>
      </c>
      <c r="D15" s="114" t="s">
        <v>59</v>
      </c>
      <c r="E15" s="88" t="s">
        <v>645</v>
      </c>
      <c r="F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>
      <c r="A16" s="4"/>
      <c r="B16" s="4"/>
      <c r="C16" s="4"/>
      <c r="D16" s="4"/>
      <c r="E16" s="4"/>
      <c r="F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8">
      <c r="A17" s="588" t="s">
        <v>646</v>
      </c>
      <c r="B17" s="587"/>
      <c r="C17" s="587"/>
      <c r="D17" s="587"/>
      <c r="E17" s="4"/>
      <c r="G17" s="539" t="s">
        <v>646</v>
      </c>
      <c r="H17" s="539"/>
      <c r="I17" s="539"/>
      <c r="J17" s="539"/>
      <c r="K17" s="539"/>
      <c r="L17" s="539"/>
      <c r="N17" s="539" t="s">
        <v>646</v>
      </c>
      <c r="O17" s="539"/>
      <c r="P17" s="539"/>
      <c r="Q17" s="539"/>
      <c r="R17" s="539"/>
      <c r="S17" s="539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3.5" thickBot="1">
      <c r="A18" s="4"/>
      <c r="B18" s="4"/>
      <c r="C18" s="4"/>
      <c r="D18" s="4"/>
      <c r="E18" s="4"/>
      <c r="G18" s="176" t="s">
        <v>525</v>
      </c>
      <c r="H18" s="176"/>
      <c r="I18" s="176"/>
      <c r="J18" s="176"/>
      <c r="K18" s="176"/>
      <c r="L18" s="176"/>
      <c r="N18" s="176" t="s">
        <v>528</v>
      </c>
      <c r="O18" s="176"/>
      <c r="P18" s="176"/>
      <c r="Q18" s="176"/>
      <c r="R18" s="176"/>
      <c r="S18" s="17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s="67" customFormat="1">
      <c r="A19" s="79" t="s">
        <v>1</v>
      </c>
      <c r="B19" s="80" t="s">
        <v>23</v>
      </c>
      <c r="C19" s="80" t="s">
        <v>24</v>
      </c>
      <c r="D19" s="81" t="s">
        <v>25</v>
      </c>
      <c r="E19" s="115" t="s">
        <v>908</v>
      </c>
      <c r="G19" s="132" t="s">
        <v>531</v>
      </c>
      <c r="H19" s="133" t="s">
        <v>23</v>
      </c>
      <c r="I19" s="133" t="s">
        <v>24</v>
      </c>
      <c r="J19" s="133"/>
      <c r="K19" s="133" t="s">
        <v>956</v>
      </c>
      <c r="L19" s="134"/>
      <c r="N19" s="132" t="s">
        <v>531</v>
      </c>
      <c r="O19" s="133" t="s">
        <v>23</v>
      </c>
      <c r="P19" s="133" t="s">
        <v>24</v>
      </c>
      <c r="Q19" s="133"/>
      <c r="R19" s="133" t="s">
        <v>956</v>
      </c>
      <c r="S19" s="13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>
      <c r="A20" s="106">
        <v>1</v>
      </c>
      <c r="B20" s="107" t="s">
        <v>616</v>
      </c>
      <c r="C20" s="107" t="s">
        <v>477</v>
      </c>
      <c r="D20" s="108" t="s">
        <v>617</v>
      </c>
      <c r="E20" s="86" t="s">
        <v>647</v>
      </c>
      <c r="G20" s="14">
        <v>1</v>
      </c>
      <c r="H20" s="75" t="s">
        <v>657</v>
      </c>
      <c r="I20" s="130" t="s">
        <v>909</v>
      </c>
      <c r="J20" s="130"/>
      <c r="K20" s="130"/>
      <c r="L20" s="131"/>
      <c r="N20" s="14">
        <v>1</v>
      </c>
      <c r="O20" s="75" t="s">
        <v>419</v>
      </c>
      <c r="P20" s="130" t="s">
        <v>913</v>
      </c>
      <c r="Q20" s="130"/>
      <c r="R20" s="130"/>
      <c r="S20" s="13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>
      <c r="A21" s="109">
        <v>2</v>
      </c>
      <c r="B21" s="110" t="s">
        <v>648</v>
      </c>
      <c r="C21" s="110" t="s">
        <v>136</v>
      </c>
      <c r="D21" s="111" t="s">
        <v>869</v>
      </c>
      <c r="E21" s="87" t="s">
        <v>649</v>
      </c>
      <c r="G21" s="146">
        <v>2</v>
      </c>
      <c r="H21" s="71" t="s">
        <v>648</v>
      </c>
      <c r="I21" s="147" t="s">
        <v>136</v>
      </c>
      <c r="J21" s="147"/>
      <c r="K21" s="147"/>
      <c r="L21" s="129"/>
      <c r="N21" s="146">
        <v>2</v>
      </c>
      <c r="O21" s="71" t="s">
        <v>341</v>
      </c>
      <c r="P21" s="147" t="s">
        <v>914</v>
      </c>
      <c r="Q21" s="147"/>
      <c r="R21" s="147"/>
      <c r="S21" s="129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>
      <c r="A22" s="109">
        <v>3</v>
      </c>
      <c r="B22" s="110" t="s">
        <v>529</v>
      </c>
      <c r="C22" s="110" t="s">
        <v>136</v>
      </c>
      <c r="D22" s="111" t="s">
        <v>869</v>
      </c>
      <c r="E22" s="87" t="s">
        <v>650</v>
      </c>
      <c r="G22" s="146">
        <v>3</v>
      </c>
      <c r="H22" s="71" t="s">
        <v>654</v>
      </c>
      <c r="I22" s="147" t="s">
        <v>910</v>
      </c>
      <c r="J22" s="147"/>
      <c r="K22" s="147"/>
      <c r="L22" s="129"/>
      <c r="N22" s="146">
        <v>3</v>
      </c>
      <c r="O22" s="71" t="s">
        <v>84</v>
      </c>
      <c r="P22" s="147" t="s">
        <v>553</v>
      </c>
      <c r="Q22" s="147"/>
      <c r="R22" s="147"/>
      <c r="S22" s="129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109">
        <v>4</v>
      </c>
      <c r="B23" s="110" t="s">
        <v>313</v>
      </c>
      <c r="C23" s="110" t="s">
        <v>299</v>
      </c>
      <c r="D23" s="111" t="s">
        <v>315</v>
      </c>
      <c r="E23" s="87" t="s">
        <v>651</v>
      </c>
      <c r="G23" s="146">
        <v>4</v>
      </c>
      <c r="H23" s="71" t="s">
        <v>616</v>
      </c>
      <c r="I23" s="147" t="s">
        <v>911</v>
      </c>
      <c r="J23" s="147"/>
      <c r="K23" s="147"/>
      <c r="L23" s="129"/>
      <c r="N23" s="146">
        <v>4</v>
      </c>
      <c r="O23" s="71" t="s">
        <v>313</v>
      </c>
      <c r="P23" s="147" t="s">
        <v>915</v>
      </c>
      <c r="Q23" s="147"/>
      <c r="R23" s="147"/>
      <c r="S23" s="129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109">
        <v>5</v>
      </c>
      <c r="B24" s="110" t="s">
        <v>341</v>
      </c>
      <c r="C24" s="110" t="s">
        <v>339</v>
      </c>
      <c r="D24" s="111" t="s">
        <v>342</v>
      </c>
      <c r="E24" s="87" t="s">
        <v>652</v>
      </c>
      <c r="G24" s="146">
        <v>5</v>
      </c>
      <c r="H24" s="71" t="s">
        <v>625</v>
      </c>
      <c r="I24" s="147" t="s">
        <v>912</v>
      </c>
      <c r="J24" s="147"/>
      <c r="K24" s="147"/>
      <c r="L24" s="129"/>
      <c r="N24" s="146">
        <v>5</v>
      </c>
      <c r="O24" s="71" t="s">
        <v>535</v>
      </c>
      <c r="P24" s="147" t="s">
        <v>567</v>
      </c>
      <c r="Q24" s="147"/>
      <c r="R24" s="147"/>
      <c r="S24" s="129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3.5" thickBot="1">
      <c r="A25" s="109">
        <v>6</v>
      </c>
      <c r="B25" s="110" t="s">
        <v>625</v>
      </c>
      <c r="C25" s="110" t="s">
        <v>562</v>
      </c>
      <c r="D25" s="111" t="s">
        <v>37</v>
      </c>
      <c r="E25" s="87" t="s">
        <v>653</v>
      </c>
      <c r="G25" s="13">
        <v>6</v>
      </c>
      <c r="H25" s="73" t="s">
        <v>529</v>
      </c>
      <c r="I25" s="135" t="s">
        <v>136</v>
      </c>
      <c r="J25" s="73"/>
      <c r="K25" s="136"/>
      <c r="L25" s="137"/>
      <c r="N25" s="13">
        <v>6</v>
      </c>
      <c r="O25" s="73" t="s">
        <v>564</v>
      </c>
      <c r="P25" s="135"/>
      <c r="Q25" s="73"/>
      <c r="R25" s="136"/>
      <c r="S25" s="13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109">
        <v>7</v>
      </c>
      <c r="B26" s="110" t="s">
        <v>654</v>
      </c>
      <c r="C26" s="110" t="s">
        <v>221</v>
      </c>
      <c r="D26" s="111" t="s">
        <v>260</v>
      </c>
      <c r="E26" s="87" t="s">
        <v>655</v>
      </c>
      <c r="F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109">
        <v>8</v>
      </c>
      <c r="B27" s="110" t="s">
        <v>535</v>
      </c>
      <c r="C27" s="110" t="s">
        <v>567</v>
      </c>
      <c r="D27" s="111" t="s">
        <v>568</v>
      </c>
      <c r="E27" s="87" t="s">
        <v>656</v>
      </c>
      <c r="F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109">
        <v>9</v>
      </c>
      <c r="B28" s="110" t="s">
        <v>657</v>
      </c>
      <c r="C28" s="110" t="s">
        <v>658</v>
      </c>
      <c r="D28" s="111" t="s">
        <v>181</v>
      </c>
      <c r="E28" s="87" t="s">
        <v>659</v>
      </c>
      <c r="F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109">
        <v>10</v>
      </c>
      <c r="B29" s="110" t="s">
        <v>84</v>
      </c>
      <c r="C29" s="110" t="s">
        <v>31</v>
      </c>
      <c r="D29" s="111" t="s">
        <v>59</v>
      </c>
      <c r="E29" s="87" t="s">
        <v>660</v>
      </c>
      <c r="F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3.5" thickBot="1">
      <c r="A30" s="112">
        <v>11</v>
      </c>
      <c r="B30" s="113" t="s">
        <v>419</v>
      </c>
      <c r="C30" s="113" t="s">
        <v>286</v>
      </c>
      <c r="D30" s="114" t="s">
        <v>207</v>
      </c>
      <c r="E30" s="88" t="s">
        <v>661</v>
      </c>
      <c r="F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</sheetData>
  <mergeCells count="6">
    <mergeCell ref="N17:S17"/>
    <mergeCell ref="G3:L3"/>
    <mergeCell ref="N3:S3"/>
    <mergeCell ref="A3:D3"/>
    <mergeCell ref="A17:D17"/>
    <mergeCell ref="G17:L1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6"/>
  <sheetViews>
    <sheetView topLeftCell="B1" workbookViewId="0">
      <selection activeCell="C25" sqref="C25"/>
    </sheetView>
  </sheetViews>
  <sheetFormatPr defaultColWidth="14.42578125" defaultRowHeight="12.75"/>
  <cols>
    <col min="1" max="1" width="4.85546875" style="5" customWidth="1"/>
    <col min="2" max="2" width="18.140625" style="5" bestFit="1" customWidth="1"/>
    <col min="3" max="3" width="28.42578125" style="5" bestFit="1" customWidth="1"/>
    <col min="4" max="4" width="22.140625" style="5" bestFit="1" customWidth="1"/>
    <col min="5" max="5" width="27.85546875" style="5" hidden="1" customWidth="1"/>
    <col min="6" max="6" width="5.85546875" style="5" customWidth="1"/>
    <col min="7" max="7" width="8.7109375" style="5" customWidth="1"/>
    <col min="8" max="8" width="25.7109375" style="5" customWidth="1"/>
    <col min="9" max="9" width="12.42578125" style="5" bestFit="1" customWidth="1"/>
    <col min="10" max="10" width="6.85546875" style="5" customWidth="1"/>
    <col min="11" max="11" width="13.28515625" style="5" bestFit="1" customWidth="1"/>
    <col min="12" max="12" width="25.7109375" style="5" customWidth="1"/>
    <col min="13" max="13" width="12.42578125" style="5" bestFit="1" customWidth="1"/>
    <col min="14" max="26" width="8.7109375" style="5" customWidth="1"/>
    <col min="27" max="16384" width="14.42578125" style="5"/>
  </cols>
  <sheetData>
    <row r="1" spans="1:13">
      <c r="A1" s="5" t="s">
        <v>865</v>
      </c>
    </row>
    <row r="3" spans="1:13" ht="18">
      <c r="A3" s="537" t="s">
        <v>930</v>
      </c>
      <c r="B3" s="538"/>
      <c r="C3" s="538"/>
      <c r="D3" s="538"/>
      <c r="E3" s="62"/>
      <c r="F3" s="62"/>
      <c r="G3" s="539" t="s">
        <v>662</v>
      </c>
      <c r="H3" s="539"/>
      <c r="I3" s="539"/>
      <c r="J3" s="62"/>
      <c r="K3" s="539" t="s">
        <v>662</v>
      </c>
      <c r="L3" s="539"/>
      <c r="M3" s="539"/>
    </row>
    <row r="4" spans="1:13" ht="13.5" thickBot="1">
      <c r="A4" s="584"/>
      <c r="B4" s="585"/>
      <c r="C4" s="585"/>
      <c r="D4" s="585"/>
      <c r="G4" s="138" t="s">
        <v>525</v>
      </c>
      <c r="H4" s="139"/>
      <c r="I4" s="139"/>
      <c r="K4" s="138" t="s">
        <v>528</v>
      </c>
      <c r="L4" s="139"/>
      <c r="M4" s="139"/>
    </row>
    <row r="5" spans="1:13">
      <c r="A5" s="79" t="s">
        <v>1</v>
      </c>
      <c r="B5" s="80" t="s">
        <v>23</v>
      </c>
      <c r="C5" s="80" t="s">
        <v>24</v>
      </c>
      <c r="D5" s="81" t="s">
        <v>25</v>
      </c>
      <c r="E5" s="115" t="s">
        <v>916</v>
      </c>
      <c r="G5" s="132" t="s">
        <v>531</v>
      </c>
      <c r="H5" s="133" t="s">
        <v>23</v>
      </c>
      <c r="I5" s="134" t="s">
        <v>24</v>
      </c>
      <c r="K5" s="132" t="s">
        <v>531</v>
      </c>
      <c r="L5" s="133" t="s">
        <v>23</v>
      </c>
      <c r="M5" s="134" t="s">
        <v>24</v>
      </c>
    </row>
    <row r="6" spans="1:13">
      <c r="A6" s="106">
        <v>1</v>
      </c>
      <c r="B6" s="107" t="s">
        <v>663</v>
      </c>
      <c r="C6" s="107" t="s">
        <v>574</v>
      </c>
      <c r="D6" s="108" t="s">
        <v>210</v>
      </c>
      <c r="E6" s="86" t="s">
        <v>664</v>
      </c>
      <c r="G6" s="14">
        <v>1</v>
      </c>
      <c r="H6" s="75" t="s">
        <v>564</v>
      </c>
      <c r="I6" s="131"/>
      <c r="K6" s="14">
        <v>1</v>
      </c>
      <c r="L6" s="75" t="s">
        <v>564</v>
      </c>
      <c r="M6" s="131"/>
    </row>
    <row r="7" spans="1:13">
      <c r="A7" s="109">
        <v>2</v>
      </c>
      <c r="B7" s="110" t="s">
        <v>665</v>
      </c>
      <c r="C7" s="110" t="s">
        <v>666</v>
      </c>
      <c r="D7" s="111" t="s">
        <v>210</v>
      </c>
      <c r="E7" s="87" t="s">
        <v>667</v>
      </c>
      <c r="G7" s="12">
        <v>2</v>
      </c>
      <c r="H7" s="71" t="s">
        <v>673</v>
      </c>
      <c r="I7" s="129" t="s">
        <v>917</v>
      </c>
      <c r="K7" s="12">
        <v>2</v>
      </c>
      <c r="L7" s="71" t="s">
        <v>665</v>
      </c>
      <c r="M7" s="129" t="s">
        <v>920</v>
      </c>
    </row>
    <row r="8" spans="1:13">
      <c r="A8" s="109">
        <v>3</v>
      </c>
      <c r="B8" s="110" t="s">
        <v>668</v>
      </c>
      <c r="C8" s="110" t="s">
        <v>136</v>
      </c>
      <c r="D8" s="111" t="s">
        <v>869</v>
      </c>
      <c r="E8" s="87" t="s">
        <v>669</v>
      </c>
      <c r="G8" s="12">
        <v>3</v>
      </c>
      <c r="H8" s="71" t="s">
        <v>670</v>
      </c>
      <c r="I8" s="129" t="s">
        <v>136</v>
      </c>
      <c r="K8" s="12">
        <v>3</v>
      </c>
      <c r="L8" s="71" t="s">
        <v>393</v>
      </c>
      <c r="M8" s="129" t="s">
        <v>921</v>
      </c>
    </row>
    <row r="9" spans="1:13">
      <c r="A9" s="109">
        <v>4</v>
      </c>
      <c r="B9" s="110" t="s">
        <v>670</v>
      </c>
      <c r="C9" s="110" t="s">
        <v>136</v>
      </c>
      <c r="D9" s="111" t="s">
        <v>869</v>
      </c>
      <c r="E9" s="87" t="s">
        <v>671</v>
      </c>
      <c r="G9" s="12">
        <v>4</v>
      </c>
      <c r="H9" s="71" t="s">
        <v>663</v>
      </c>
      <c r="I9" s="129" t="s">
        <v>918</v>
      </c>
      <c r="K9" s="12">
        <v>4</v>
      </c>
      <c r="L9" s="71" t="s">
        <v>668</v>
      </c>
      <c r="M9" s="129" t="s">
        <v>136</v>
      </c>
    </row>
    <row r="10" spans="1:13">
      <c r="A10" s="109">
        <v>5</v>
      </c>
      <c r="B10" s="110" t="s">
        <v>393</v>
      </c>
      <c r="C10" s="110" t="s">
        <v>389</v>
      </c>
      <c r="D10" s="111" t="s">
        <v>213</v>
      </c>
      <c r="E10" s="87" t="s">
        <v>672</v>
      </c>
      <c r="G10" s="12">
        <v>5</v>
      </c>
      <c r="H10" s="71" t="s">
        <v>677</v>
      </c>
      <c r="I10" s="129" t="s">
        <v>919</v>
      </c>
      <c r="K10" s="12">
        <v>5</v>
      </c>
      <c r="L10" s="71" t="s">
        <v>680</v>
      </c>
      <c r="M10" s="129" t="s">
        <v>922</v>
      </c>
    </row>
    <row r="11" spans="1:13" ht="13.5" thickBot="1">
      <c r="A11" s="109">
        <v>6</v>
      </c>
      <c r="B11" s="110" t="s">
        <v>673</v>
      </c>
      <c r="C11" s="110" t="s">
        <v>674</v>
      </c>
      <c r="D11" s="111" t="s">
        <v>675</v>
      </c>
      <c r="E11" s="87" t="s">
        <v>676</v>
      </c>
      <c r="G11" s="13">
        <v>6</v>
      </c>
      <c r="H11" s="73" t="s">
        <v>564</v>
      </c>
      <c r="I11" s="137"/>
      <c r="K11" s="13">
        <v>6</v>
      </c>
      <c r="L11" s="73" t="s">
        <v>564</v>
      </c>
      <c r="M11" s="137"/>
    </row>
    <row r="12" spans="1:13">
      <c r="A12" s="109">
        <v>7</v>
      </c>
      <c r="B12" s="110" t="s">
        <v>677</v>
      </c>
      <c r="C12" s="110" t="s">
        <v>678</v>
      </c>
      <c r="D12" s="111" t="s">
        <v>282</v>
      </c>
      <c r="E12" s="87" t="s">
        <v>679</v>
      </c>
    </row>
    <row r="13" spans="1:13" ht="13.5" thickBot="1">
      <c r="A13" s="142">
        <v>8</v>
      </c>
      <c r="B13" s="143" t="s">
        <v>680</v>
      </c>
      <c r="C13" s="143" t="s">
        <v>440</v>
      </c>
      <c r="D13" s="144" t="s">
        <v>681</v>
      </c>
      <c r="E13" s="88" t="s">
        <v>682</v>
      </c>
    </row>
    <row r="15" spans="1:13" ht="18">
      <c r="A15" s="539" t="s">
        <v>923</v>
      </c>
      <c r="B15" s="538"/>
      <c r="C15" s="538"/>
      <c r="D15" s="538"/>
    </row>
    <row r="16" spans="1:13" ht="18.75" thickBot="1">
      <c r="G16" s="539" t="s">
        <v>683</v>
      </c>
      <c r="H16" s="539"/>
      <c r="I16" s="539"/>
      <c r="J16" s="62"/>
      <c r="K16" s="539" t="s">
        <v>683</v>
      </c>
      <c r="L16" s="539"/>
      <c r="M16" s="539"/>
    </row>
    <row r="17" spans="1:13" ht="13.5" thickBot="1">
      <c r="A17" s="79" t="s">
        <v>1</v>
      </c>
      <c r="B17" s="80" t="s">
        <v>23</v>
      </c>
      <c r="C17" s="80" t="s">
        <v>24</v>
      </c>
      <c r="D17" s="81" t="s">
        <v>25</v>
      </c>
      <c r="E17" s="115" t="s">
        <v>924</v>
      </c>
      <c r="G17" s="138" t="s">
        <v>525</v>
      </c>
      <c r="H17" s="139"/>
      <c r="I17" s="139"/>
      <c r="K17" s="138" t="s">
        <v>528</v>
      </c>
      <c r="L17" s="139"/>
      <c r="M17" s="139"/>
    </row>
    <row r="18" spans="1:13">
      <c r="A18" s="106">
        <v>1</v>
      </c>
      <c r="B18" s="107" t="s">
        <v>670</v>
      </c>
      <c r="C18" s="107" t="s">
        <v>136</v>
      </c>
      <c r="D18" s="108" t="s">
        <v>869</v>
      </c>
      <c r="E18" s="86" t="s">
        <v>684</v>
      </c>
      <c r="G18" s="132" t="s">
        <v>531</v>
      </c>
      <c r="H18" s="133" t="s">
        <v>23</v>
      </c>
      <c r="I18" s="134" t="s">
        <v>24</v>
      </c>
      <c r="K18" s="132" t="s">
        <v>531</v>
      </c>
      <c r="L18" s="133" t="s">
        <v>23</v>
      </c>
      <c r="M18" s="134" t="s">
        <v>24</v>
      </c>
    </row>
    <row r="19" spans="1:13">
      <c r="A19" s="109">
        <v>2</v>
      </c>
      <c r="B19" s="110" t="s">
        <v>685</v>
      </c>
      <c r="C19" s="110" t="s">
        <v>136</v>
      </c>
      <c r="D19" s="111" t="s">
        <v>869</v>
      </c>
      <c r="E19" s="87" t="s">
        <v>686</v>
      </c>
      <c r="G19" s="14">
        <v>1</v>
      </c>
      <c r="H19" s="75" t="s">
        <v>670</v>
      </c>
      <c r="I19" s="131" t="s">
        <v>136</v>
      </c>
      <c r="K19" s="14">
        <v>1</v>
      </c>
      <c r="L19" s="75" t="s">
        <v>564</v>
      </c>
      <c r="M19" s="131"/>
    </row>
    <row r="20" spans="1:13">
      <c r="A20" s="109">
        <v>3</v>
      </c>
      <c r="B20" s="110" t="s">
        <v>687</v>
      </c>
      <c r="C20" s="110" t="s">
        <v>136</v>
      </c>
      <c r="D20" s="111" t="s">
        <v>869</v>
      </c>
      <c r="E20" s="87" t="s">
        <v>688</v>
      </c>
      <c r="G20" s="12">
        <v>2</v>
      </c>
      <c r="H20" s="71" t="s">
        <v>687</v>
      </c>
      <c r="I20" s="129" t="s">
        <v>136</v>
      </c>
      <c r="K20" s="12">
        <v>2</v>
      </c>
      <c r="L20" s="71" t="s">
        <v>680</v>
      </c>
      <c r="M20" s="129" t="s">
        <v>922</v>
      </c>
    </row>
    <row r="21" spans="1:13">
      <c r="A21" s="109">
        <v>4</v>
      </c>
      <c r="B21" s="110" t="s">
        <v>689</v>
      </c>
      <c r="C21" s="110" t="s">
        <v>256</v>
      </c>
      <c r="D21" s="111" t="s">
        <v>231</v>
      </c>
      <c r="E21" s="87" t="s">
        <v>690</v>
      </c>
      <c r="G21" s="12">
        <v>3</v>
      </c>
      <c r="H21" s="71" t="s">
        <v>695</v>
      </c>
      <c r="I21" s="129" t="s">
        <v>922</v>
      </c>
      <c r="K21" s="12">
        <v>3</v>
      </c>
      <c r="L21" s="71" t="s">
        <v>698</v>
      </c>
      <c r="M21" s="129" t="s">
        <v>553</v>
      </c>
    </row>
    <row r="22" spans="1:13">
      <c r="A22" s="109">
        <v>5</v>
      </c>
      <c r="B22" s="110" t="s">
        <v>691</v>
      </c>
      <c r="C22" s="110" t="s">
        <v>221</v>
      </c>
      <c r="D22" s="111" t="s">
        <v>165</v>
      </c>
      <c r="E22" s="87" t="s">
        <v>692</v>
      </c>
      <c r="G22" s="12">
        <v>4</v>
      </c>
      <c r="H22" s="71" t="s">
        <v>283</v>
      </c>
      <c r="I22" s="129" t="s">
        <v>925</v>
      </c>
      <c r="K22" s="12">
        <v>4</v>
      </c>
      <c r="L22" s="71" t="s">
        <v>685</v>
      </c>
      <c r="M22" s="129" t="s">
        <v>136</v>
      </c>
    </row>
    <row r="23" spans="1:13">
      <c r="A23" s="109">
        <v>6</v>
      </c>
      <c r="B23" s="110" t="s">
        <v>283</v>
      </c>
      <c r="C23" s="110" t="s">
        <v>258</v>
      </c>
      <c r="D23" s="111" t="s">
        <v>231</v>
      </c>
      <c r="E23" s="87" t="s">
        <v>693</v>
      </c>
      <c r="G23" s="12">
        <v>5</v>
      </c>
      <c r="H23" s="71" t="s">
        <v>689</v>
      </c>
      <c r="I23" s="129" t="s">
        <v>926</v>
      </c>
      <c r="K23" s="12">
        <v>5</v>
      </c>
      <c r="L23" s="71" t="s">
        <v>691</v>
      </c>
      <c r="M23" s="129" t="s">
        <v>910</v>
      </c>
    </row>
    <row r="24" spans="1:13" ht="13.5" thickBot="1">
      <c r="A24" s="109">
        <v>7</v>
      </c>
      <c r="B24" s="110" t="s">
        <v>680</v>
      </c>
      <c r="C24" s="110" t="s">
        <v>440</v>
      </c>
      <c r="D24" s="111" t="s">
        <v>681</v>
      </c>
      <c r="E24" s="87" t="s">
        <v>694</v>
      </c>
      <c r="G24" s="13">
        <v>6</v>
      </c>
      <c r="H24" s="73" t="s">
        <v>564</v>
      </c>
      <c r="I24" s="137"/>
      <c r="K24" s="13">
        <v>6</v>
      </c>
      <c r="L24" s="73" t="s">
        <v>564</v>
      </c>
      <c r="M24" s="137"/>
    </row>
    <row r="25" spans="1:13">
      <c r="A25" s="109">
        <v>8</v>
      </c>
      <c r="B25" s="110" t="s">
        <v>695</v>
      </c>
      <c r="C25" s="110" t="s">
        <v>440</v>
      </c>
      <c r="D25" s="111" t="s">
        <v>696</v>
      </c>
      <c r="E25" s="87" t="s">
        <v>697</v>
      </c>
    </row>
    <row r="26" spans="1:13" ht="13.5" thickBot="1">
      <c r="A26" s="142">
        <v>9</v>
      </c>
      <c r="B26" s="143" t="s">
        <v>698</v>
      </c>
      <c r="C26" s="143" t="s">
        <v>31</v>
      </c>
      <c r="D26" s="144" t="s">
        <v>59</v>
      </c>
      <c r="E26" s="88" t="s">
        <v>699</v>
      </c>
      <c r="G26" s="5" t="s">
        <v>700</v>
      </c>
    </row>
  </sheetData>
  <mergeCells count="7">
    <mergeCell ref="K3:M3"/>
    <mergeCell ref="G16:I16"/>
    <mergeCell ref="K16:M16"/>
    <mergeCell ref="A4:D4"/>
    <mergeCell ref="A15:D15"/>
    <mergeCell ref="A3:D3"/>
    <mergeCell ref="G3:I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1"/>
  <sheetViews>
    <sheetView workbookViewId="0">
      <selection activeCell="K4" sqref="K4"/>
    </sheetView>
  </sheetViews>
  <sheetFormatPr defaultColWidth="14.42578125" defaultRowHeight="12.75"/>
  <cols>
    <col min="1" max="1" width="6" style="5" customWidth="1"/>
    <col min="2" max="2" width="4.42578125" style="5" bestFit="1" customWidth="1"/>
    <col min="3" max="3" width="18.7109375" style="5" bestFit="1" customWidth="1"/>
    <col min="4" max="4" width="28" style="5" bestFit="1" customWidth="1"/>
    <col min="5" max="5" width="31.85546875" style="5" bestFit="1" customWidth="1"/>
    <col min="6" max="6" width="31.140625" style="5" hidden="1" customWidth="1"/>
    <col min="7" max="7" width="6" style="5" customWidth="1"/>
    <col min="8" max="8" width="11.85546875" style="5" bestFit="1" customWidth="1"/>
    <col min="9" max="9" width="31.140625" style="5" bestFit="1" customWidth="1"/>
    <col min="10" max="10" width="8.7109375" style="5" customWidth="1"/>
    <col min="11" max="11" width="26" style="5" customWidth="1"/>
    <col min="12" max="12" width="8.7109375" style="5" customWidth="1"/>
    <col min="13" max="13" width="27.28515625" style="5" customWidth="1"/>
    <col min="14" max="28" width="8.7109375" style="5" customWidth="1"/>
    <col min="29" max="16384" width="14.42578125" style="5"/>
  </cols>
  <sheetData>
    <row r="1" spans="1:10">
      <c r="A1" s="5" t="s">
        <v>865</v>
      </c>
    </row>
    <row r="3" spans="1:10" ht="18">
      <c r="A3" s="537" t="s">
        <v>931</v>
      </c>
      <c r="B3" s="538"/>
      <c r="C3" s="538"/>
      <c r="D3" s="538"/>
      <c r="E3" s="538"/>
      <c r="F3" s="62"/>
      <c r="G3" s="62"/>
      <c r="H3" s="539" t="s">
        <v>701</v>
      </c>
      <c r="I3" s="539"/>
      <c r="J3" s="539"/>
    </row>
    <row r="4" spans="1:10" ht="18.75" thickBot="1">
      <c r="A4" s="61"/>
      <c r="B4" s="62"/>
      <c r="C4" s="62"/>
      <c r="D4" s="62"/>
      <c r="E4" s="62"/>
      <c r="F4" s="62"/>
      <c r="G4" s="62"/>
      <c r="H4" s="68"/>
    </row>
    <row r="5" spans="1:10">
      <c r="A5" s="148" t="s">
        <v>1</v>
      </c>
      <c r="B5" s="149" t="s">
        <v>526</v>
      </c>
      <c r="C5" s="149" t="s">
        <v>23</v>
      </c>
      <c r="D5" s="149" t="s">
        <v>24</v>
      </c>
      <c r="E5" s="150" t="s">
        <v>25</v>
      </c>
      <c r="F5" s="115" t="s">
        <v>937</v>
      </c>
      <c r="G5" s="145"/>
      <c r="H5" s="597" t="s">
        <v>932</v>
      </c>
      <c r="I5" s="598"/>
      <c r="J5" s="599"/>
    </row>
    <row r="6" spans="1:10">
      <c r="A6" s="630">
        <v>1</v>
      </c>
      <c r="B6" s="632">
        <v>7</v>
      </c>
      <c r="C6" s="151" t="s">
        <v>702</v>
      </c>
      <c r="D6" s="151" t="s">
        <v>611</v>
      </c>
      <c r="E6" s="152" t="s">
        <v>429</v>
      </c>
      <c r="F6" s="665" t="s">
        <v>703</v>
      </c>
      <c r="G6" s="155"/>
      <c r="H6" s="626">
        <v>1</v>
      </c>
      <c r="I6" s="624" t="str">
        <f>F18</f>
        <v>CL.2M.06_QTR (Lực - Tâm)</v>
      </c>
      <c r="J6" s="600">
        <v>1</v>
      </c>
    </row>
    <row r="7" spans="1:10">
      <c r="A7" s="631"/>
      <c r="B7" s="633"/>
      <c r="C7" s="153" t="s">
        <v>704</v>
      </c>
      <c r="D7" s="153" t="s">
        <v>611</v>
      </c>
      <c r="E7" s="154" t="s">
        <v>133</v>
      </c>
      <c r="F7" s="660"/>
      <c r="G7" s="155"/>
      <c r="H7" s="627"/>
      <c r="I7" s="625"/>
      <c r="J7" s="601"/>
    </row>
    <row r="8" spans="1:10">
      <c r="A8" s="630">
        <v>2</v>
      </c>
      <c r="B8" s="632">
        <v>1</v>
      </c>
      <c r="C8" s="151" t="s">
        <v>705</v>
      </c>
      <c r="D8" s="151" t="s">
        <v>477</v>
      </c>
      <c r="E8" s="152" t="s">
        <v>706</v>
      </c>
      <c r="F8" s="660" t="s">
        <v>101</v>
      </c>
      <c r="G8" s="155"/>
      <c r="H8" s="661">
        <v>2</v>
      </c>
      <c r="I8" s="663" t="str">
        <f>F14</f>
        <v>CL.2M.05_HNC (Thơi - Hiếu)</v>
      </c>
      <c r="J8" s="601"/>
    </row>
    <row r="9" spans="1:10">
      <c r="A9" s="631"/>
      <c r="B9" s="633"/>
      <c r="C9" s="153" t="s">
        <v>313</v>
      </c>
      <c r="D9" s="153" t="s">
        <v>477</v>
      </c>
      <c r="E9" s="154" t="s">
        <v>59</v>
      </c>
      <c r="F9" s="660"/>
      <c r="G9" s="155"/>
      <c r="H9" s="662"/>
      <c r="I9" s="664"/>
      <c r="J9" s="602"/>
    </row>
    <row r="10" spans="1:10">
      <c r="A10" s="630">
        <v>3</v>
      </c>
      <c r="B10" s="632">
        <v>1</v>
      </c>
      <c r="C10" s="151" t="s">
        <v>708</v>
      </c>
      <c r="D10" s="151" t="s">
        <v>709</v>
      </c>
      <c r="E10" s="152" t="s">
        <v>55</v>
      </c>
      <c r="F10" s="660" t="s">
        <v>710</v>
      </c>
      <c r="G10" s="155"/>
      <c r="H10" s="616">
        <v>3</v>
      </c>
      <c r="I10" s="618" t="str">
        <f>F10</f>
        <v>CL.2M.03_CCTH (Đức - Hiệp)</v>
      </c>
      <c r="J10" s="603">
        <v>2</v>
      </c>
    </row>
    <row r="11" spans="1:10">
      <c r="A11" s="631"/>
      <c r="B11" s="633"/>
      <c r="C11" s="153" t="s">
        <v>711</v>
      </c>
      <c r="D11" s="153" t="s">
        <v>709</v>
      </c>
      <c r="E11" s="154" t="s">
        <v>712</v>
      </c>
      <c r="F11" s="660"/>
      <c r="G11" s="155"/>
      <c r="H11" s="617"/>
      <c r="I11" s="619"/>
      <c r="J11" s="604"/>
    </row>
    <row r="12" spans="1:10">
      <c r="A12" s="630">
        <v>4</v>
      </c>
      <c r="B12" s="632">
        <v>6</v>
      </c>
      <c r="C12" s="151" t="s">
        <v>205</v>
      </c>
      <c r="D12" s="151" t="s">
        <v>194</v>
      </c>
      <c r="E12" s="152" t="s">
        <v>184</v>
      </c>
      <c r="F12" s="660" t="s">
        <v>713</v>
      </c>
      <c r="G12" s="155"/>
      <c r="H12" s="650">
        <v>4</v>
      </c>
      <c r="I12" s="620" t="str">
        <f>F20</f>
        <v>CL.2M.07_SHA (Tú - Vĩnh)</v>
      </c>
      <c r="J12" s="604"/>
    </row>
    <row r="13" spans="1:10">
      <c r="A13" s="631"/>
      <c r="B13" s="633"/>
      <c r="C13" s="153" t="s">
        <v>204</v>
      </c>
      <c r="D13" s="153" t="s">
        <v>194</v>
      </c>
      <c r="E13" s="154" t="s">
        <v>46</v>
      </c>
      <c r="F13" s="660"/>
      <c r="G13" s="155"/>
      <c r="H13" s="651"/>
      <c r="I13" s="621"/>
      <c r="J13" s="605"/>
    </row>
    <row r="14" spans="1:10">
      <c r="A14" s="630">
        <v>5</v>
      </c>
      <c r="B14" s="632">
        <v>1</v>
      </c>
      <c r="C14" s="151" t="s">
        <v>714</v>
      </c>
      <c r="D14" s="151" t="s">
        <v>351</v>
      </c>
      <c r="E14" s="152" t="s">
        <v>213</v>
      </c>
      <c r="F14" s="660" t="s">
        <v>715</v>
      </c>
      <c r="G14" s="155"/>
      <c r="H14" s="652">
        <v>5</v>
      </c>
      <c r="I14" s="622" t="str">
        <f>F16</f>
        <v>CL.2M.05_NTC (Công - Cung)</v>
      </c>
      <c r="J14" s="606">
        <v>3</v>
      </c>
    </row>
    <row r="15" spans="1:10">
      <c r="A15" s="631"/>
      <c r="B15" s="633"/>
      <c r="C15" s="153" t="s">
        <v>716</v>
      </c>
      <c r="D15" s="153" t="s">
        <v>351</v>
      </c>
      <c r="E15" s="154" t="s">
        <v>197</v>
      </c>
      <c r="F15" s="660"/>
      <c r="G15" s="155"/>
      <c r="H15" s="653"/>
      <c r="I15" s="623"/>
      <c r="J15" s="607"/>
    </row>
    <row r="16" spans="1:10">
      <c r="A16" s="630">
        <v>6</v>
      </c>
      <c r="B16" s="632">
        <v>7</v>
      </c>
      <c r="C16" s="151" t="s">
        <v>717</v>
      </c>
      <c r="D16" s="151" t="s">
        <v>491</v>
      </c>
      <c r="E16" s="152" t="s">
        <v>870</v>
      </c>
      <c r="F16" s="660" t="s">
        <v>718</v>
      </c>
      <c r="G16" s="155"/>
      <c r="H16" s="654">
        <v>6</v>
      </c>
      <c r="I16" s="646" t="str">
        <f>F8</f>
        <v>CL.2M.02_CCHN (Hanh - Linh)</v>
      </c>
      <c r="J16" s="607"/>
    </row>
    <row r="17" spans="1:10">
      <c r="A17" s="631"/>
      <c r="B17" s="633"/>
      <c r="C17" s="153" t="s">
        <v>490</v>
      </c>
      <c r="D17" s="153" t="s">
        <v>491</v>
      </c>
      <c r="E17" s="154" t="s">
        <v>165</v>
      </c>
      <c r="F17" s="660"/>
      <c r="G17" s="155"/>
      <c r="H17" s="655"/>
      <c r="I17" s="647"/>
      <c r="J17" s="608"/>
    </row>
    <row r="18" spans="1:10">
      <c r="A18" s="630">
        <v>7</v>
      </c>
      <c r="B18" s="632">
        <v>6</v>
      </c>
      <c r="C18" s="151" t="s">
        <v>719</v>
      </c>
      <c r="D18" s="151" t="s">
        <v>678</v>
      </c>
      <c r="E18" s="152" t="s">
        <v>195</v>
      </c>
      <c r="F18" s="660" t="s">
        <v>720</v>
      </c>
      <c r="G18" s="155"/>
      <c r="H18" s="656">
        <v>7</v>
      </c>
      <c r="I18" s="648" t="str">
        <f>F6</f>
        <v>CL.2M.01_BMT (Vinh - Chí)</v>
      </c>
      <c r="J18" s="609">
        <v>4</v>
      </c>
    </row>
    <row r="19" spans="1:10">
      <c r="A19" s="631"/>
      <c r="B19" s="633"/>
      <c r="C19" s="153" t="s">
        <v>722</v>
      </c>
      <c r="D19" s="153" t="s">
        <v>678</v>
      </c>
      <c r="E19" s="154" t="s">
        <v>133</v>
      </c>
      <c r="F19" s="660"/>
      <c r="G19" s="155"/>
      <c r="H19" s="657"/>
      <c r="I19" s="649"/>
      <c r="J19" s="610"/>
    </row>
    <row r="20" spans="1:10">
      <c r="A20" s="644">
        <v>8</v>
      </c>
      <c r="B20" s="658">
        <v>6</v>
      </c>
      <c r="C20" s="71" t="s">
        <v>612</v>
      </c>
      <c r="D20" s="71" t="s">
        <v>643</v>
      </c>
      <c r="E20" s="72" t="s">
        <v>182</v>
      </c>
      <c r="F20" s="660" t="s">
        <v>723</v>
      </c>
      <c r="G20" s="155"/>
      <c r="H20" s="612">
        <v>8</v>
      </c>
      <c r="I20" s="614" t="str">
        <f>F12</f>
        <v>CL.2M.04_DNA (Hùng - Hoàng)</v>
      </c>
      <c r="J20" s="610"/>
    </row>
    <row r="21" spans="1:10" ht="13.5" thickBot="1">
      <c r="A21" s="645"/>
      <c r="B21" s="659"/>
      <c r="C21" s="73" t="s">
        <v>724</v>
      </c>
      <c r="D21" s="73" t="s">
        <v>643</v>
      </c>
      <c r="E21" s="74" t="s">
        <v>195</v>
      </c>
      <c r="F21" s="670"/>
      <c r="G21" s="155"/>
      <c r="H21" s="613"/>
      <c r="I21" s="615"/>
      <c r="J21" s="611"/>
    </row>
    <row r="23" spans="1:10" ht="18">
      <c r="A23" s="539" t="s">
        <v>773</v>
      </c>
      <c r="B23" s="538"/>
      <c r="C23" s="538"/>
      <c r="D23" s="538"/>
      <c r="E23" s="538"/>
      <c r="H23" s="539" t="s">
        <v>773</v>
      </c>
      <c r="I23" s="539"/>
      <c r="J23" s="539"/>
    </row>
    <row r="24" spans="1:10" ht="18.75" thickBot="1">
      <c r="A24" s="63"/>
      <c r="B24" s="62"/>
      <c r="C24" s="62"/>
      <c r="D24" s="62"/>
      <c r="E24" s="62"/>
      <c r="H24" s="68"/>
    </row>
    <row r="25" spans="1:10">
      <c r="A25" s="148" t="s">
        <v>1</v>
      </c>
      <c r="B25" s="149" t="s">
        <v>526</v>
      </c>
      <c r="C25" s="149" t="s">
        <v>23</v>
      </c>
      <c r="D25" s="149" t="s">
        <v>24</v>
      </c>
      <c r="E25" s="150" t="s">
        <v>25</v>
      </c>
      <c r="F25" s="115" t="s">
        <v>935</v>
      </c>
      <c r="H25" s="597" t="s">
        <v>932</v>
      </c>
      <c r="I25" s="598"/>
      <c r="J25" s="599"/>
    </row>
    <row r="26" spans="1:10">
      <c r="A26" s="630">
        <v>1</v>
      </c>
      <c r="B26" s="632">
        <v>1</v>
      </c>
      <c r="C26" s="151" t="s">
        <v>726</v>
      </c>
      <c r="D26" s="151" t="s">
        <v>136</v>
      </c>
      <c r="E26" s="152" t="s">
        <v>869</v>
      </c>
      <c r="F26" s="665" t="s">
        <v>775</v>
      </c>
      <c r="H26" s="626">
        <v>1</v>
      </c>
      <c r="I26" s="624" t="str">
        <f>F26</f>
        <v>CL.2F.01_Cienco5 và DHE (Tuyết - Hằng)</v>
      </c>
      <c r="J26" s="600">
        <v>1</v>
      </c>
    </row>
    <row r="27" spans="1:10">
      <c r="A27" s="631"/>
      <c r="B27" s="633"/>
      <c r="C27" s="153" t="s">
        <v>778</v>
      </c>
      <c r="D27" s="153" t="s">
        <v>136</v>
      </c>
      <c r="E27" s="154" t="s">
        <v>869</v>
      </c>
      <c r="F27" s="660"/>
      <c r="H27" s="627"/>
      <c r="I27" s="625"/>
      <c r="J27" s="601"/>
    </row>
    <row r="28" spans="1:10">
      <c r="A28" s="630">
        <v>2</v>
      </c>
      <c r="B28" s="632">
        <v>1</v>
      </c>
      <c r="C28" s="151" t="s">
        <v>780</v>
      </c>
      <c r="D28" s="151" t="s">
        <v>781</v>
      </c>
      <c r="E28" s="152" t="s">
        <v>231</v>
      </c>
      <c r="F28" s="660" t="s">
        <v>782</v>
      </c>
      <c r="H28" s="661">
        <v>2</v>
      </c>
      <c r="I28" s="663" t="str">
        <f>F32</f>
        <v>CL.2F.04_SGO (Hương - Kiều)</v>
      </c>
      <c r="J28" s="601"/>
    </row>
    <row r="29" spans="1:10">
      <c r="A29" s="631"/>
      <c r="B29" s="633"/>
      <c r="C29" s="153" t="s">
        <v>784</v>
      </c>
      <c r="D29" s="153" t="s">
        <v>781</v>
      </c>
      <c r="E29" s="154" t="s">
        <v>133</v>
      </c>
      <c r="F29" s="660"/>
      <c r="H29" s="662"/>
      <c r="I29" s="664"/>
      <c r="J29" s="602"/>
    </row>
    <row r="30" spans="1:10">
      <c r="A30" s="630">
        <v>3</v>
      </c>
      <c r="B30" s="632">
        <v>6</v>
      </c>
      <c r="C30" s="151" t="s">
        <v>764</v>
      </c>
      <c r="D30" s="151" t="s">
        <v>678</v>
      </c>
      <c r="E30" s="152" t="s">
        <v>210</v>
      </c>
      <c r="F30" s="660" t="s">
        <v>786</v>
      </c>
      <c r="H30" s="616">
        <v>3</v>
      </c>
      <c r="I30" s="618" t="str">
        <f>F40</f>
        <v>CL.2F.08_VRC (An - Nam)</v>
      </c>
      <c r="J30" s="603">
        <v>2</v>
      </c>
    </row>
    <row r="31" spans="1:10">
      <c r="A31" s="631"/>
      <c r="B31" s="633"/>
      <c r="C31" s="153" t="s">
        <v>788</v>
      </c>
      <c r="D31" s="153" t="s">
        <v>678</v>
      </c>
      <c r="E31" s="154" t="s">
        <v>170</v>
      </c>
      <c r="F31" s="660"/>
      <c r="H31" s="617"/>
      <c r="I31" s="619"/>
      <c r="J31" s="604"/>
    </row>
    <row r="32" spans="1:10">
      <c r="A32" s="630">
        <v>4</v>
      </c>
      <c r="B32" s="632">
        <v>8</v>
      </c>
      <c r="C32" s="151" t="s">
        <v>790</v>
      </c>
      <c r="D32" s="151" t="s">
        <v>509</v>
      </c>
      <c r="E32" s="152" t="s">
        <v>231</v>
      </c>
      <c r="F32" s="660" t="s">
        <v>791</v>
      </c>
      <c r="H32" s="650">
        <v>4</v>
      </c>
      <c r="I32" s="620" t="str">
        <f>F36</f>
        <v>CL.2F.06_TQU (Chi - Trinh)</v>
      </c>
      <c r="J32" s="604"/>
    </row>
    <row r="33" spans="1:12">
      <c r="A33" s="631"/>
      <c r="B33" s="633"/>
      <c r="C33" s="153" t="s">
        <v>794</v>
      </c>
      <c r="D33" s="153" t="s">
        <v>509</v>
      </c>
      <c r="E33" s="154" t="s">
        <v>362</v>
      </c>
      <c r="F33" s="660"/>
      <c r="H33" s="651"/>
      <c r="I33" s="621"/>
      <c r="J33" s="605"/>
    </row>
    <row r="34" spans="1:12">
      <c r="A34" s="630">
        <v>5</v>
      </c>
      <c r="B34" s="632">
        <v>6</v>
      </c>
      <c r="C34" s="151" t="s">
        <v>750</v>
      </c>
      <c r="D34" s="151" t="s">
        <v>643</v>
      </c>
      <c r="E34" s="152" t="s">
        <v>139</v>
      </c>
      <c r="F34" s="660" t="s">
        <v>795</v>
      </c>
      <c r="H34" s="652">
        <v>5</v>
      </c>
      <c r="I34" s="622" t="str">
        <f>F28</f>
        <v>CL.2F.02_HLO (Phượng - Mai)</v>
      </c>
      <c r="J34" s="606">
        <v>3</v>
      </c>
    </row>
    <row r="35" spans="1:12">
      <c r="A35" s="631"/>
      <c r="B35" s="633"/>
      <c r="C35" s="153" t="s">
        <v>799</v>
      </c>
      <c r="D35" s="153" t="s">
        <v>643</v>
      </c>
      <c r="E35" s="154" t="s">
        <v>210</v>
      </c>
      <c r="F35" s="660"/>
      <c r="H35" s="653"/>
      <c r="I35" s="623"/>
      <c r="J35" s="607"/>
    </row>
    <row r="36" spans="1:12">
      <c r="A36" s="630">
        <v>6</v>
      </c>
      <c r="B36" s="632">
        <v>1</v>
      </c>
      <c r="C36" s="151" t="s">
        <v>801</v>
      </c>
      <c r="D36" s="151" t="s">
        <v>766</v>
      </c>
      <c r="E36" s="152" t="s">
        <v>231</v>
      </c>
      <c r="F36" s="660" t="s">
        <v>803</v>
      </c>
      <c r="H36" s="654">
        <v>6</v>
      </c>
      <c r="I36" s="646" t="str">
        <f>F34</f>
        <v>CL.2F.05_SHA (Mai - Trâm Anh)</v>
      </c>
      <c r="J36" s="607"/>
    </row>
    <row r="37" spans="1:12">
      <c r="A37" s="631"/>
      <c r="B37" s="633"/>
      <c r="C37" s="153" t="s">
        <v>804</v>
      </c>
      <c r="D37" s="153" t="s">
        <v>766</v>
      </c>
      <c r="E37" s="154" t="s">
        <v>938</v>
      </c>
      <c r="F37" s="660"/>
      <c r="H37" s="655"/>
      <c r="I37" s="647"/>
      <c r="J37" s="608"/>
    </row>
    <row r="38" spans="1:12">
      <c r="A38" s="630">
        <v>7</v>
      </c>
      <c r="B38" s="632">
        <v>1</v>
      </c>
      <c r="C38" s="151" t="s">
        <v>807</v>
      </c>
      <c r="D38" s="151" t="s">
        <v>766</v>
      </c>
      <c r="E38" s="152" t="s">
        <v>404</v>
      </c>
      <c r="F38" s="660" t="s">
        <v>808</v>
      </c>
      <c r="H38" s="656">
        <v>7</v>
      </c>
      <c r="I38" s="648" t="str">
        <f>F30</f>
        <v>CL.2F.03_QTR (Chi - Thủy)</v>
      </c>
      <c r="J38" s="609">
        <v>4</v>
      </c>
    </row>
    <row r="39" spans="1:12">
      <c r="A39" s="631"/>
      <c r="B39" s="633"/>
      <c r="C39" s="153" t="s">
        <v>765</v>
      </c>
      <c r="D39" s="153" t="s">
        <v>766</v>
      </c>
      <c r="E39" s="154" t="s">
        <v>46</v>
      </c>
      <c r="F39" s="660"/>
      <c r="H39" s="657"/>
      <c r="I39" s="649"/>
      <c r="J39" s="610"/>
    </row>
    <row r="40" spans="1:12">
      <c r="A40" s="644">
        <v>8</v>
      </c>
      <c r="B40" s="658">
        <v>5</v>
      </c>
      <c r="C40" s="71" t="s">
        <v>771</v>
      </c>
      <c r="D40" s="71" t="s">
        <v>31</v>
      </c>
      <c r="E40" s="72" t="s">
        <v>362</v>
      </c>
      <c r="F40" s="660" t="s">
        <v>813</v>
      </c>
      <c r="H40" s="612">
        <v>8</v>
      </c>
      <c r="I40" s="614" t="str">
        <f>F38</f>
        <v>CL.2F.07_TQU (Trang - Phương)</v>
      </c>
      <c r="J40" s="610"/>
    </row>
    <row r="41" spans="1:12" ht="13.5" thickBot="1">
      <c r="A41" s="645"/>
      <c r="B41" s="659"/>
      <c r="C41" s="73" t="s">
        <v>814</v>
      </c>
      <c r="D41" s="73" t="s">
        <v>31</v>
      </c>
      <c r="E41" s="74" t="s">
        <v>59</v>
      </c>
      <c r="F41" s="670"/>
      <c r="H41" s="613"/>
      <c r="I41" s="615"/>
      <c r="J41" s="611"/>
    </row>
    <row r="43" spans="1:12" ht="18">
      <c r="A43" s="539" t="s">
        <v>816</v>
      </c>
      <c r="B43" s="538"/>
      <c r="C43" s="538"/>
      <c r="D43" s="538"/>
      <c r="E43" s="538"/>
      <c r="H43" s="539" t="s">
        <v>816</v>
      </c>
      <c r="I43" s="539"/>
      <c r="J43" s="539"/>
      <c r="K43" s="68"/>
      <c r="L43" s="68"/>
    </row>
    <row r="44" spans="1:12" ht="18.75" thickBot="1">
      <c r="A44" s="63"/>
      <c r="B44" s="62"/>
      <c r="C44" s="62"/>
      <c r="D44" s="62"/>
      <c r="E44" s="62"/>
      <c r="H44" s="68"/>
      <c r="I44" s="68"/>
      <c r="J44" s="68"/>
      <c r="K44" s="68"/>
      <c r="L44" s="68"/>
    </row>
    <row r="45" spans="1:12">
      <c r="A45" s="148" t="s">
        <v>1</v>
      </c>
      <c r="B45" s="149" t="s">
        <v>526</v>
      </c>
      <c r="C45" s="149" t="s">
        <v>23</v>
      </c>
      <c r="D45" s="149" t="s">
        <v>24</v>
      </c>
      <c r="E45" s="150" t="s">
        <v>25</v>
      </c>
      <c r="F45" s="115" t="s">
        <v>934</v>
      </c>
      <c r="H45" s="597" t="s">
        <v>932</v>
      </c>
      <c r="I45" s="598"/>
      <c r="J45" s="599"/>
    </row>
    <row r="46" spans="1:12">
      <c r="A46" s="14">
        <v>1</v>
      </c>
      <c r="B46" s="130">
        <v>1</v>
      </c>
      <c r="C46" s="75" t="s">
        <v>735</v>
      </c>
      <c r="D46" s="75" t="s">
        <v>477</v>
      </c>
      <c r="E46" s="76" t="s">
        <v>736</v>
      </c>
      <c r="F46" s="86" t="s">
        <v>820</v>
      </c>
      <c r="H46" s="157">
        <v>1</v>
      </c>
      <c r="I46" s="158" t="str">
        <f>F53</f>
        <v>CL.M.08_VRC (Đạt)</v>
      </c>
      <c r="J46" s="595">
        <v>1</v>
      </c>
    </row>
    <row r="47" spans="1:12">
      <c r="A47" s="12">
        <v>2</v>
      </c>
      <c r="B47" s="128">
        <v>1</v>
      </c>
      <c r="C47" s="71" t="s">
        <v>711</v>
      </c>
      <c r="D47" s="71" t="s">
        <v>709</v>
      </c>
      <c r="E47" s="72" t="s">
        <v>712</v>
      </c>
      <c r="F47" s="87" t="s">
        <v>823</v>
      </c>
      <c r="H47" s="157">
        <v>2</v>
      </c>
      <c r="I47" s="158" t="str">
        <f>F46</f>
        <v>CL.M.01_CCHN (Cường)</v>
      </c>
      <c r="J47" s="596"/>
    </row>
    <row r="48" spans="1:12">
      <c r="A48" s="12">
        <v>3</v>
      </c>
      <c r="B48" s="128">
        <v>8</v>
      </c>
      <c r="C48" s="71" t="s">
        <v>825</v>
      </c>
      <c r="D48" s="71" t="s">
        <v>164</v>
      </c>
      <c r="E48" s="72" t="s">
        <v>239</v>
      </c>
      <c r="F48" s="87" t="s">
        <v>826</v>
      </c>
      <c r="H48" s="118">
        <v>3</v>
      </c>
      <c r="I48" s="119" t="str">
        <f>F51</f>
        <v>CL.M.06_HNC (Thơi)</v>
      </c>
      <c r="J48" s="593">
        <v>2</v>
      </c>
    </row>
    <row r="49" spans="1:12">
      <c r="A49" s="12">
        <v>4</v>
      </c>
      <c r="B49" s="128">
        <v>7</v>
      </c>
      <c r="C49" s="71" t="s">
        <v>749</v>
      </c>
      <c r="D49" s="71" t="s">
        <v>744</v>
      </c>
      <c r="E49" s="72" t="s">
        <v>870</v>
      </c>
      <c r="F49" s="87" t="s">
        <v>827</v>
      </c>
      <c r="H49" s="118">
        <v>4</v>
      </c>
      <c r="I49" s="119" t="str">
        <f>F49</f>
        <v>CL.M.04_DLA (Triều)</v>
      </c>
      <c r="J49" s="594"/>
    </row>
    <row r="50" spans="1:12">
      <c r="A50" s="12">
        <v>5</v>
      </c>
      <c r="B50" s="128">
        <v>1</v>
      </c>
      <c r="C50" s="71" t="s">
        <v>716</v>
      </c>
      <c r="D50" s="71" t="s">
        <v>351</v>
      </c>
      <c r="E50" s="72" t="s">
        <v>197</v>
      </c>
      <c r="F50" s="87" t="s">
        <v>830</v>
      </c>
      <c r="H50" s="116">
        <v>5</v>
      </c>
      <c r="I50" s="117" t="str">
        <f>F52</f>
        <v>CL.M.07_HUE (Huy)</v>
      </c>
      <c r="J50" s="591">
        <v>3</v>
      </c>
    </row>
    <row r="51" spans="1:12">
      <c r="A51" s="12">
        <v>6</v>
      </c>
      <c r="B51" s="128">
        <v>1</v>
      </c>
      <c r="C51" s="71" t="s">
        <v>714</v>
      </c>
      <c r="D51" s="71" t="s">
        <v>351</v>
      </c>
      <c r="E51" s="72" t="s">
        <v>213</v>
      </c>
      <c r="F51" s="87" t="s">
        <v>833</v>
      </c>
      <c r="H51" s="116">
        <v>6</v>
      </c>
      <c r="I51" s="117" t="str">
        <f>F47</f>
        <v>CL.M.02_CCTH (Hiệp)</v>
      </c>
      <c r="J51" s="592"/>
    </row>
    <row r="52" spans="1:12">
      <c r="A52" s="12">
        <v>7</v>
      </c>
      <c r="B52" s="128">
        <v>6</v>
      </c>
      <c r="C52" s="71" t="s">
        <v>756</v>
      </c>
      <c r="D52" s="71" t="s">
        <v>489</v>
      </c>
      <c r="E52" s="72" t="s">
        <v>933</v>
      </c>
      <c r="F52" s="87" t="s">
        <v>836</v>
      </c>
      <c r="H52" s="159">
        <v>7</v>
      </c>
      <c r="I52" s="160" t="str">
        <f>F50</f>
        <v>CL.M.05_HNC (Hiếu)</v>
      </c>
      <c r="J52" s="589">
        <v>4</v>
      </c>
    </row>
    <row r="53" spans="1:12" ht="13.5" thickBot="1">
      <c r="A53" s="13">
        <v>8</v>
      </c>
      <c r="B53" s="136">
        <v>5</v>
      </c>
      <c r="C53" s="73" t="s">
        <v>71</v>
      </c>
      <c r="D53" s="73" t="s">
        <v>31</v>
      </c>
      <c r="E53" s="74" t="s">
        <v>59</v>
      </c>
      <c r="F53" s="88" t="s">
        <v>838</v>
      </c>
      <c r="H53" s="159">
        <v>8</v>
      </c>
      <c r="I53" s="160" t="str">
        <f>F48</f>
        <v>CL.M.03_CTH (Dương)</v>
      </c>
      <c r="J53" s="590"/>
    </row>
    <row r="55" spans="1:12" ht="18">
      <c r="A55" s="539" t="s">
        <v>841</v>
      </c>
      <c r="B55" s="538"/>
      <c r="C55" s="538"/>
      <c r="D55" s="538"/>
      <c r="E55" s="538"/>
      <c r="H55" s="539" t="s">
        <v>841</v>
      </c>
      <c r="I55" s="539"/>
      <c r="J55" s="539"/>
      <c r="K55" s="68"/>
      <c r="L55" s="68"/>
    </row>
    <row r="56" spans="1:12" ht="18.75" thickBot="1">
      <c r="A56" s="63"/>
      <c r="B56" s="62"/>
      <c r="C56" s="62"/>
      <c r="D56" s="62"/>
      <c r="E56" s="62"/>
      <c r="H56" s="68"/>
      <c r="I56" s="68"/>
      <c r="J56" s="68"/>
      <c r="K56" s="68"/>
      <c r="L56" s="68"/>
    </row>
    <row r="57" spans="1:12">
      <c r="A57" s="148" t="s">
        <v>1</v>
      </c>
      <c r="B57" s="149" t="s">
        <v>526</v>
      </c>
      <c r="C57" s="149" t="s">
        <v>23</v>
      </c>
      <c r="D57" s="149" t="s">
        <v>24</v>
      </c>
      <c r="E57" s="150" t="s">
        <v>25</v>
      </c>
      <c r="F57" s="115" t="s">
        <v>939</v>
      </c>
      <c r="H57" s="597" t="s">
        <v>932</v>
      </c>
      <c r="I57" s="598"/>
      <c r="J57" s="599"/>
    </row>
    <row r="58" spans="1:12">
      <c r="A58" s="14">
        <v>1</v>
      </c>
      <c r="B58" s="130">
        <v>7</v>
      </c>
      <c r="C58" s="75" t="s">
        <v>845</v>
      </c>
      <c r="D58" s="75" t="s">
        <v>611</v>
      </c>
      <c r="E58" s="76" t="s">
        <v>226</v>
      </c>
      <c r="F58" s="86" t="s">
        <v>846</v>
      </c>
      <c r="H58" s="157">
        <v>1</v>
      </c>
      <c r="I58" s="158" t="str">
        <f>F65</f>
        <v>CL.F.08_VPTĐ (Thu)</v>
      </c>
      <c r="J58" s="595">
        <v>1</v>
      </c>
    </row>
    <row r="59" spans="1:12">
      <c r="A59" s="12">
        <v>2</v>
      </c>
      <c r="B59" s="128">
        <v>6</v>
      </c>
      <c r="C59" s="71" t="s">
        <v>848</v>
      </c>
      <c r="D59" s="71" t="s">
        <v>194</v>
      </c>
      <c r="E59" s="72" t="s">
        <v>210</v>
      </c>
      <c r="F59" s="87" t="s">
        <v>849</v>
      </c>
      <c r="H59" s="157">
        <v>2</v>
      </c>
      <c r="I59" s="158" t="str">
        <f>F58</f>
        <v>CL.F.01_BMT (Vy)</v>
      </c>
      <c r="J59" s="596"/>
    </row>
    <row r="60" spans="1:12">
      <c r="A60" s="12">
        <v>3</v>
      </c>
      <c r="B60" s="128">
        <v>1</v>
      </c>
      <c r="C60" s="71" t="s">
        <v>780</v>
      </c>
      <c r="D60" s="71" t="s">
        <v>781</v>
      </c>
      <c r="E60" s="72" t="s">
        <v>231</v>
      </c>
      <c r="F60" s="87" t="s">
        <v>852</v>
      </c>
      <c r="H60" s="118">
        <v>3</v>
      </c>
      <c r="I60" s="119" t="str">
        <f>F62</f>
        <v>CL.F.05_LSG (Trân)</v>
      </c>
      <c r="J60" s="593">
        <v>2</v>
      </c>
    </row>
    <row r="61" spans="1:12">
      <c r="A61" s="12">
        <v>4</v>
      </c>
      <c r="B61" s="128">
        <v>1</v>
      </c>
      <c r="C61" s="71" t="s">
        <v>753</v>
      </c>
      <c r="D61" s="71" t="s">
        <v>339</v>
      </c>
      <c r="E61" s="72" t="s">
        <v>754</v>
      </c>
      <c r="F61" s="87" t="s">
        <v>854</v>
      </c>
      <c r="H61" s="118">
        <v>4</v>
      </c>
      <c r="I61" s="119" t="str">
        <f>F60</f>
        <v>CL.F.03_HLO (Phượng)</v>
      </c>
      <c r="J61" s="594"/>
    </row>
    <row r="62" spans="1:12">
      <c r="A62" s="12">
        <v>5</v>
      </c>
      <c r="B62" s="128">
        <v>8</v>
      </c>
      <c r="C62" s="71" t="s">
        <v>858</v>
      </c>
      <c r="D62" s="71" t="s">
        <v>221</v>
      </c>
      <c r="E62" s="72" t="s">
        <v>368</v>
      </c>
      <c r="F62" s="87" t="s">
        <v>859</v>
      </c>
      <c r="H62" s="116">
        <v>5</v>
      </c>
      <c r="I62" s="117" t="str">
        <f>F59</f>
        <v>CL.F.02_DNA (Nhi)</v>
      </c>
      <c r="J62" s="591">
        <v>3</v>
      </c>
    </row>
    <row r="63" spans="1:12">
      <c r="A63" s="12">
        <v>6</v>
      </c>
      <c r="B63" s="128">
        <v>6</v>
      </c>
      <c r="C63" s="71" t="s">
        <v>788</v>
      </c>
      <c r="D63" s="71" t="s">
        <v>678</v>
      </c>
      <c r="E63" s="72" t="s">
        <v>170</v>
      </c>
      <c r="F63" s="87" t="s">
        <v>860</v>
      </c>
      <c r="H63" s="116">
        <v>6</v>
      </c>
      <c r="I63" s="117" t="str">
        <f>F61</f>
        <v>CL.F.04_HNO (Loan)</v>
      </c>
      <c r="J63" s="592"/>
    </row>
    <row r="64" spans="1:12">
      <c r="A64" s="12">
        <v>7</v>
      </c>
      <c r="B64" s="128">
        <v>1</v>
      </c>
      <c r="C64" s="71" t="s">
        <v>801</v>
      </c>
      <c r="D64" s="71" t="s">
        <v>766</v>
      </c>
      <c r="E64" s="72" t="s">
        <v>231</v>
      </c>
      <c r="F64" s="87" t="s">
        <v>861</v>
      </c>
      <c r="H64" s="159">
        <v>7</v>
      </c>
      <c r="I64" s="160" t="str">
        <f>F63</f>
        <v>CL.F.06_QTR (Thủy)</v>
      </c>
      <c r="J64" s="589">
        <v>4</v>
      </c>
    </row>
    <row r="65" spans="1:13" ht="13.5" thickBot="1">
      <c r="A65" s="13">
        <v>8</v>
      </c>
      <c r="B65" s="136">
        <v>1</v>
      </c>
      <c r="C65" s="73" t="s">
        <v>862</v>
      </c>
      <c r="D65" s="73" t="s">
        <v>440</v>
      </c>
      <c r="E65" s="74" t="s">
        <v>863</v>
      </c>
      <c r="F65" s="88" t="s">
        <v>864</v>
      </c>
      <c r="H65" s="159">
        <v>8</v>
      </c>
      <c r="I65" s="160" t="str">
        <f>F64</f>
        <v>CL.F.07_TQU (Chi)</v>
      </c>
      <c r="J65" s="590"/>
    </row>
    <row r="68" spans="1:13" ht="18">
      <c r="A68" s="539" t="s">
        <v>725</v>
      </c>
      <c r="B68" s="538"/>
      <c r="C68" s="538"/>
      <c r="D68" s="538"/>
      <c r="E68" s="538"/>
      <c r="F68" s="156"/>
      <c r="G68" s="156"/>
      <c r="H68" s="583" t="s">
        <v>725</v>
      </c>
      <c r="I68" s="583"/>
      <c r="J68" s="583"/>
      <c r="K68" s="583"/>
      <c r="L68" s="583"/>
      <c r="M68" s="583"/>
    </row>
    <row r="69" spans="1:13" ht="13.5" thickBot="1">
      <c r="A69" s="68"/>
      <c r="F69" s="156"/>
      <c r="G69" s="156"/>
      <c r="H69" s="69"/>
      <c r="I69" s="83"/>
      <c r="J69" s="83"/>
      <c r="K69" s="83"/>
      <c r="L69" s="83"/>
      <c r="M69" s="83"/>
    </row>
    <row r="70" spans="1:13">
      <c r="A70" s="148" t="s">
        <v>1</v>
      </c>
      <c r="B70" s="149" t="s">
        <v>526</v>
      </c>
      <c r="C70" s="149" t="s">
        <v>23</v>
      </c>
      <c r="D70" s="149" t="s">
        <v>24</v>
      </c>
      <c r="E70" s="150" t="s">
        <v>25</v>
      </c>
      <c r="F70" s="115" t="s">
        <v>936</v>
      </c>
      <c r="H70" s="671" t="s">
        <v>727</v>
      </c>
      <c r="I70" s="672"/>
      <c r="J70" s="673" t="s">
        <v>728</v>
      </c>
      <c r="K70" s="674"/>
      <c r="L70" s="675" t="s">
        <v>729</v>
      </c>
      <c r="M70" s="676"/>
    </row>
    <row r="71" spans="1:13">
      <c r="A71" s="630">
        <v>1</v>
      </c>
      <c r="B71" s="632">
        <v>1</v>
      </c>
      <c r="C71" s="151" t="s">
        <v>730</v>
      </c>
      <c r="D71" s="151" t="s">
        <v>477</v>
      </c>
      <c r="E71" s="152" t="s">
        <v>731</v>
      </c>
      <c r="F71" s="665" t="s">
        <v>108</v>
      </c>
      <c r="H71" s="634">
        <v>1</v>
      </c>
      <c r="I71" s="640" t="str">
        <f>F79</f>
        <v>CL.MF.05_HUE (Huy - Anh)</v>
      </c>
      <c r="J71" s="636">
        <v>1</v>
      </c>
      <c r="K71" s="642" t="str">
        <f>F87</f>
        <v>CL.MF.09_VRC (An - Đạt)</v>
      </c>
      <c r="L71" s="638">
        <v>1</v>
      </c>
      <c r="M71" s="628" t="str">
        <f>F83</f>
        <v>CL.MF.07_QTR (Lực - Chi)</v>
      </c>
    </row>
    <row r="72" spans="1:13">
      <c r="A72" s="631"/>
      <c r="B72" s="633"/>
      <c r="C72" s="153" t="s">
        <v>735</v>
      </c>
      <c r="D72" s="153" t="s">
        <v>477</v>
      </c>
      <c r="E72" s="154" t="s">
        <v>736</v>
      </c>
      <c r="F72" s="660"/>
      <c r="H72" s="635"/>
      <c r="I72" s="641"/>
      <c r="J72" s="637"/>
      <c r="K72" s="643"/>
      <c r="L72" s="639"/>
      <c r="M72" s="629"/>
    </row>
    <row r="73" spans="1:13">
      <c r="A73" s="630">
        <v>2</v>
      </c>
      <c r="B73" s="632">
        <v>2</v>
      </c>
      <c r="C73" s="151" t="s">
        <v>737</v>
      </c>
      <c r="D73" s="151" t="s">
        <v>389</v>
      </c>
      <c r="E73" s="152" t="s">
        <v>738</v>
      </c>
      <c r="F73" s="660" t="s">
        <v>739</v>
      </c>
      <c r="H73" s="634">
        <v>2</v>
      </c>
      <c r="I73" s="640" t="str">
        <f>F85</f>
        <v>CL.MF.08_TQU (Phương - Giang)</v>
      </c>
      <c r="J73" s="636">
        <v>2</v>
      </c>
      <c r="K73" s="642" t="str">
        <f>F73</f>
        <v>CL.MF.02_DBP (Thảo - Dương)</v>
      </c>
      <c r="L73" s="638">
        <v>2</v>
      </c>
      <c r="M73" s="628" t="str">
        <f>F71</f>
        <v>CL.MF.01_CCHN (Phúc - Cường)</v>
      </c>
    </row>
    <row r="74" spans="1:13">
      <c r="A74" s="631"/>
      <c r="B74" s="633"/>
      <c r="C74" s="153" t="s">
        <v>742</v>
      </c>
      <c r="D74" s="153" t="s">
        <v>389</v>
      </c>
      <c r="E74" s="154" t="s">
        <v>231</v>
      </c>
      <c r="F74" s="660"/>
      <c r="H74" s="635"/>
      <c r="I74" s="641"/>
      <c r="J74" s="637"/>
      <c r="K74" s="643"/>
      <c r="L74" s="639"/>
      <c r="M74" s="629"/>
    </row>
    <row r="75" spans="1:13">
      <c r="A75" s="630">
        <v>3</v>
      </c>
      <c r="B75" s="632">
        <v>7</v>
      </c>
      <c r="C75" s="151" t="s">
        <v>743</v>
      </c>
      <c r="D75" s="151" t="s">
        <v>744</v>
      </c>
      <c r="E75" s="152" t="s">
        <v>231</v>
      </c>
      <c r="F75" s="660" t="s">
        <v>866</v>
      </c>
      <c r="H75" s="634">
        <v>3</v>
      </c>
      <c r="I75" s="640" t="str">
        <f>F81</f>
        <v>CL.MF.06_NTC (Kiều - Cung)</v>
      </c>
      <c r="J75" s="636">
        <v>3</v>
      </c>
      <c r="K75" s="642" t="str">
        <f>F77</f>
        <v>CL.MF.04_HNO (Khánh - Loan)</v>
      </c>
      <c r="L75" s="638">
        <v>3</v>
      </c>
      <c r="M75" s="628" t="str">
        <f>F75</f>
        <v>CL.MF.03_DLA (Ly - Triều)</v>
      </c>
    </row>
    <row r="76" spans="1:13">
      <c r="A76" s="631"/>
      <c r="B76" s="633"/>
      <c r="C76" s="153" t="s">
        <v>749</v>
      </c>
      <c r="D76" s="153" t="s">
        <v>744</v>
      </c>
      <c r="E76" s="154" t="s">
        <v>189</v>
      </c>
      <c r="F76" s="660"/>
      <c r="H76" s="635"/>
      <c r="I76" s="641"/>
      <c r="J76" s="637"/>
      <c r="K76" s="643"/>
      <c r="L76" s="639"/>
      <c r="M76" s="629"/>
    </row>
    <row r="77" spans="1:13">
      <c r="A77" s="630">
        <v>4</v>
      </c>
      <c r="B77" s="632">
        <v>1</v>
      </c>
      <c r="C77" s="151" t="s">
        <v>752</v>
      </c>
      <c r="D77" s="151" t="s">
        <v>339</v>
      </c>
      <c r="E77" s="152" t="s">
        <v>457</v>
      </c>
      <c r="F77" s="660" t="s">
        <v>867</v>
      </c>
    </row>
    <row r="78" spans="1:13">
      <c r="A78" s="631"/>
      <c r="B78" s="633"/>
      <c r="C78" s="153" t="s">
        <v>753</v>
      </c>
      <c r="D78" s="153" t="s">
        <v>339</v>
      </c>
      <c r="E78" s="154" t="s">
        <v>754</v>
      </c>
      <c r="F78" s="660"/>
      <c r="H78" s="171" t="s">
        <v>946</v>
      </c>
      <c r="I78" s="169"/>
      <c r="J78" s="169"/>
      <c r="K78" s="169"/>
      <c r="L78" s="169"/>
      <c r="M78" s="169"/>
    </row>
    <row r="79" spans="1:13">
      <c r="A79" s="630">
        <v>5</v>
      </c>
      <c r="B79" s="632">
        <v>6</v>
      </c>
      <c r="C79" s="151" t="s">
        <v>756</v>
      </c>
      <c r="D79" s="151" t="s">
        <v>489</v>
      </c>
      <c r="E79" s="152" t="s">
        <v>933</v>
      </c>
      <c r="F79" s="660" t="s">
        <v>868</v>
      </c>
      <c r="H79" s="170" t="s">
        <v>105</v>
      </c>
      <c r="I79" s="169" t="s">
        <v>868</v>
      </c>
      <c r="J79" s="170" t="s">
        <v>111</v>
      </c>
      <c r="K79" s="169" t="s">
        <v>772</v>
      </c>
      <c r="L79" s="170" t="s">
        <v>500</v>
      </c>
      <c r="M79" s="169" t="s">
        <v>761</v>
      </c>
    </row>
    <row r="80" spans="1:13">
      <c r="A80" s="631"/>
      <c r="B80" s="633"/>
      <c r="C80" s="153" t="s">
        <v>757</v>
      </c>
      <c r="D80" s="153" t="s">
        <v>489</v>
      </c>
      <c r="E80" s="154" t="s">
        <v>165</v>
      </c>
      <c r="F80" s="660"/>
      <c r="H80" s="170" t="s">
        <v>109</v>
      </c>
      <c r="I80" s="169" t="s">
        <v>767</v>
      </c>
      <c r="J80" s="170" t="s">
        <v>129</v>
      </c>
      <c r="K80" s="169" t="s">
        <v>739</v>
      </c>
      <c r="L80" s="170" t="s">
        <v>504</v>
      </c>
      <c r="M80" s="169" t="s">
        <v>108</v>
      </c>
    </row>
    <row r="81" spans="1:13">
      <c r="A81" s="630">
        <v>6</v>
      </c>
      <c r="B81" s="632">
        <v>7</v>
      </c>
      <c r="C81" s="151" t="s">
        <v>758</v>
      </c>
      <c r="D81" s="151" t="s">
        <v>491</v>
      </c>
      <c r="E81" s="152" t="s">
        <v>231</v>
      </c>
      <c r="F81" s="660" t="s">
        <v>759</v>
      </c>
      <c r="H81" s="170"/>
      <c r="I81" s="169"/>
      <c r="J81" s="170"/>
      <c r="K81" s="169"/>
      <c r="L81" s="170"/>
      <c r="M81" s="169"/>
    </row>
    <row r="82" spans="1:13">
      <c r="A82" s="631"/>
      <c r="B82" s="633"/>
      <c r="C82" s="153" t="s">
        <v>490</v>
      </c>
      <c r="D82" s="153" t="s">
        <v>491</v>
      </c>
      <c r="E82" s="154" t="s">
        <v>165</v>
      </c>
      <c r="F82" s="660"/>
      <c r="H82" s="170" t="s">
        <v>109</v>
      </c>
      <c r="I82" s="169" t="s">
        <v>767</v>
      </c>
      <c r="J82" s="170" t="s">
        <v>129</v>
      </c>
      <c r="K82" s="169" t="s">
        <v>739</v>
      </c>
      <c r="L82" s="170" t="s">
        <v>504</v>
      </c>
      <c r="M82" s="169" t="s">
        <v>108</v>
      </c>
    </row>
    <row r="83" spans="1:13">
      <c r="A83" s="630">
        <v>7</v>
      </c>
      <c r="B83" s="632">
        <v>6</v>
      </c>
      <c r="C83" s="151" t="s">
        <v>719</v>
      </c>
      <c r="D83" s="151" t="s">
        <v>678</v>
      </c>
      <c r="E83" s="152" t="s">
        <v>195</v>
      </c>
      <c r="F83" s="660" t="s">
        <v>761</v>
      </c>
      <c r="H83" s="170" t="s">
        <v>117</v>
      </c>
      <c r="I83" s="169" t="s">
        <v>759</v>
      </c>
      <c r="J83" s="170" t="s">
        <v>134</v>
      </c>
      <c r="K83" s="169" t="s">
        <v>867</v>
      </c>
      <c r="L83" s="170" t="s">
        <v>507</v>
      </c>
      <c r="M83" s="169" t="s">
        <v>866</v>
      </c>
    </row>
    <row r="84" spans="1:13">
      <c r="A84" s="631"/>
      <c r="B84" s="633"/>
      <c r="C84" s="153" t="s">
        <v>764</v>
      </c>
      <c r="D84" s="153" t="s">
        <v>678</v>
      </c>
      <c r="E84" s="154" t="s">
        <v>210</v>
      </c>
      <c r="F84" s="660"/>
      <c r="H84" s="170"/>
      <c r="I84" s="169"/>
      <c r="J84" s="170"/>
      <c r="K84" s="169"/>
      <c r="L84" s="170"/>
      <c r="M84" s="169"/>
    </row>
    <row r="85" spans="1:13">
      <c r="A85" s="630">
        <v>8</v>
      </c>
      <c r="B85" s="632">
        <v>1</v>
      </c>
      <c r="C85" s="151" t="s">
        <v>765</v>
      </c>
      <c r="D85" s="151" t="s">
        <v>766</v>
      </c>
      <c r="E85" s="152" t="s">
        <v>46</v>
      </c>
      <c r="F85" s="660" t="s">
        <v>767</v>
      </c>
      <c r="H85" s="170" t="s">
        <v>117</v>
      </c>
      <c r="I85" s="169" t="s">
        <v>759</v>
      </c>
      <c r="J85" s="170" t="s">
        <v>134</v>
      </c>
      <c r="K85" s="169" t="s">
        <v>867</v>
      </c>
      <c r="L85" s="170" t="s">
        <v>507</v>
      </c>
      <c r="M85" s="169" t="s">
        <v>866</v>
      </c>
    </row>
    <row r="86" spans="1:13">
      <c r="A86" s="631"/>
      <c r="B86" s="633"/>
      <c r="C86" s="153" t="s">
        <v>768</v>
      </c>
      <c r="D86" s="153" t="s">
        <v>766</v>
      </c>
      <c r="E86" s="154" t="s">
        <v>178</v>
      </c>
      <c r="F86" s="660"/>
      <c r="H86" s="170" t="s">
        <v>105</v>
      </c>
      <c r="I86" s="169" t="s">
        <v>868</v>
      </c>
      <c r="J86" s="170" t="s">
        <v>111</v>
      </c>
      <c r="K86" s="169" t="s">
        <v>772</v>
      </c>
      <c r="L86" s="170" t="s">
        <v>500</v>
      </c>
      <c r="M86" s="169" t="s">
        <v>761</v>
      </c>
    </row>
    <row r="87" spans="1:13">
      <c r="A87" s="666">
        <v>9</v>
      </c>
      <c r="B87" s="668">
        <v>5</v>
      </c>
      <c r="C87" s="71" t="s">
        <v>771</v>
      </c>
      <c r="D87" s="71" t="s">
        <v>31</v>
      </c>
      <c r="E87" s="72" t="s">
        <v>362</v>
      </c>
      <c r="F87" s="677" t="s">
        <v>772</v>
      </c>
      <c r="H87" s="127"/>
      <c r="I87" s="127"/>
      <c r="J87" s="127"/>
      <c r="K87" s="127"/>
      <c r="L87" s="127"/>
      <c r="M87" s="127"/>
    </row>
    <row r="88" spans="1:13" ht="13.5" thickBot="1">
      <c r="A88" s="667"/>
      <c r="B88" s="669"/>
      <c r="C88" s="73" t="s">
        <v>71</v>
      </c>
      <c r="D88" s="73" t="s">
        <v>31</v>
      </c>
      <c r="E88" s="74" t="s">
        <v>59</v>
      </c>
      <c r="F88" s="678"/>
      <c r="H88" s="171" t="s">
        <v>947</v>
      </c>
      <c r="I88" s="170" t="s">
        <v>948</v>
      </c>
      <c r="J88" s="170"/>
      <c r="K88" s="170" t="s">
        <v>948</v>
      </c>
      <c r="L88" s="169"/>
      <c r="M88" s="170" t="s">
        <v>948</v>
      </c>
    </row>
    <row r="89" spans="1:13">
      <c r="H89" s="170" t="s">
        <v>105</v>
      </c>
      <c r="I89" s="170"/>
      <c r="J89" s="170" t="s">
        <v>111</v>
      </c>
      <c r="K89" s="169"/>
      <c r="L89" s="170" t="s">
        <v>500</v>
      </c>
      <c r="M89" s="169"/>
    </row>
    <row r="90" spans="1:13">
      <c r="H90" s="170" t="s">
        <v>109</v>
      </c>
      <c r="I90" s="170"/>
      <c r="J90" s="170" t="s">
        <v>129</v>
      </c>
      <c r="K90" s="169"/>
      <c r="L90" s="170" t="s">
        <v>504</v>
      </c>
      <c r="M90" s="169"/>
    </row>
    <row r="91" spans="1:13">
      <c r="H91" s="170" t="s">
        <v>117</v>
      </c>
      <c r="I91" s="170"/>
      <c r="J91" s="170" t="s">
        <v>134</v>
      </c>
      <c r="K91" s="169"/>
      <c r="L91" s="170" t="s">
        <v>507</v>
      </c>
      <c r="M91" s="169"/>
    </row>
    <row r="92" spans="1:13">
      <c r="H92" s="127"/>
      <c r="I92" s="127"/>
      <c r="J92" s="127"/>
      <c r="K92" s="127"/>
      <c r="L92" s="127"/>
      <c r="M92" s="127"/>
    </row>
    <row r="93" spans="1:13">
      <c r="H93" s="171" t="s">
        <v>953</v>
      </c>
      <c r="I93" s="169"/>
      <c r="J93" s="127"/>
      <c r="K93" s="127"/>
      <c r="L93" s="105" t="s">
        <v>78</v>
      </c>
      <c r="M93" s="105" t="s">
        <v>955</v>
      </c>
    </row>
    <row r="94" spans="1:13">
      <c r="H94" s="169" t="s">
        <v>949</v>
      </c>
      <c r="I94" s="169"/>
      <c r="J94" s="127"/>
      <c r="K94" s="169" t="s">
        <v>949</v>
      </c>
      <c r="L94" s="169"/>
      <c r="M94" s="169"/>
    </row>
    <row r="95" spans="1:13">
      <c r="H95" s="169" t="s">
        <v>951</v>
      </c>
      <c r="I95" s="169"/>
      <c r="J95" s="127"/>
      <c r="K95" s="169" t="s">
        <v>951</v>
      </c>
      <c r="L95" s="169"/>
      <c r="M95" s="169"/>
    </row>
    <row r="96" spans="1:13">
      <c r="H96" s="169" t="s">
        <v>954</v>
      </c>
      <c r="I96" s="169"/>
      <c r="J96" s="127"/>
      <c r="K96" s="169"/>
      <c r="L96" s="169"/>
      <c r="M96" s="169"/>
    </row>
    <row r="97" spans="8:13">
      <c r="H97" s="127"/>
      <c r="I97" s="127"/>
      <c r="J97" s="127"/>
      <c r="K97" s="169" t="s">
        <v>951</v>
      </c>
      <c r="L97" s="169"/>
      <c r="M97" s="169"/>
    </row>
    <row r="98" spans="8:13">
      <c r="H98" s="127"/>
      <c r="I98" s="127"/>
      <c r="J98" s="127"/>
      <c r="K98" s="169" t="s">
        <v>954</v>
      </c>
      <c r="L98" s="169"/>
      <c r="M98" s="169"/>
    </row>
    <row r="99" spans="8:13">
      <c r="H99" s="127"/>
      <c r="I99" s="127"/>
      <c r="J99" s="127"/>
      <c r="K99" s="169"/>
      <c r="L99" s="169"/>
      <c r="M99" s="169"/>
    </row>
    <row r="100" spans="8:13">
      <c r="H100" s="127"/>
      <c r="I100" s="127"/>
      <c r="J100" s="127"/>
      <c r="K100" s="169" t="s">
        <v>954</v>
      </c>
      <c r="L100" s="169"/>
      <c r="M100" s="169"/>
    </row>
    <row r="101" spans="8:13">
      <c r="H101" s="127"/>
      <c r="I101" s="127"/>
      <c r="J101" s="127"/>
      <c r="K101" s="169" t="s">
        <v>949</v>
      </c>
      <c r="L101" s="169"/>
      <c r="M101" s="169"/>
    </row>
  </sheetData>
  <mergeCells count="158">
    <mergeCell ref="F87:F88"/>
    <mergeCell ref="F26:F27"/>
    <mergeCell ref="F28:F29"/>
    <mergeCell ref="F30:F31"/>
    <mergeCell ref="F32:F33"/>
    <mergeCell ref="F34:F35"/>
    <mergeCell ref="F36:F37"/>
    <mergeCell ref="F38:F39"/>
    <mergeCell ref="F40:F41"/>
    <mergeCell ref="F75:F76"/>
    <mergeCell ref="F77:F78"/>
    <mergeCell ref="F79:F80"/>
    <mergeCell ref="F81:F82"/>
    <mergeCell ref="F83:F84"/>
    <mergeCell ref="F85:F86"/>
    <mergeCell ref="J10:J13"/>
    <mergeCell ref="I10:I11"/>
    <mergeCell ref="H10:H11"/>
    <mergeCell ref="J14:J17"/>
    <mergeCell ref="F10:F11"/>
    <mergeCell ref="H25:J25"/>
    <mergeCell ref="I28:I29"/>
    <mergeCell ref="H68:M68"/>
    <mergeCell ref="L70:M70"/>
    <mergeCell ref="H45:J45"/>
    <mergeCell ref="J18:J21"/>
    <mergeCell ref="I18:I19"/>
    <mergeCell ref="I20:I21"/>
    <mergeCell ref="H20:H21"/>
    <mergeCell ref="H70:I70"/>
    <mergeCell ref="J70:K70"/>
    <mergeCell ref="H23:J23"/>
    <mergeCell ref="H43:J43"/>
    <mergeCell ref="H55:J55"/>
    <mergeCell ref="A87:A88"/>
    <mergeCell ref="A26:A27"/>
    <mergeCell ref="B26:B27"/>
    <mergeCell ref="B30:B31"/>
    <mergeCell ref="A30:A31"/>
    <mergeCell ref="A32:A33"/>
    <mergeCell ref="A34:A35"/>
    <mergeCell ref="A36:A37"/>
    <mergeCell ref="A38:A39"/>
    <mergeCell ref="A40:A41"/>
    <mergeCell ref="B32:B33"/>
    <mergeCell ref="B34:B35"/>
    <mergeCell ref="B36:B37"/>
    <mergeCell ref="B38:B39"/>
    <mergeCell ref="B40:B41"/>
    <mergeCell ref="B87:B88"/>
    <mergeCell ref="B81:B82"/>
    <mergeCell ref="B83:B84"/>
    <mergeCell ref="B85:B86"/>
    <mergeCell ref="A79:A80"/>
    <mergeCell ref="B79:B80"/>
    <mergeCell ref="A3:E3"/>
    <mergeCell ref="A6:A7"/>
    <mergeCell ref="B6:B7"/>
    <mergeCell ref="J6:J9"/>
    <mergeCell ref="H8:H9"/>
    <mergeCell ref="H5:J5"/>
    <mergeCell ref="A8:A9"/>
    <mergeCell ref="B8:B9"/>
    <mergeCell ref="H6:H7"/>
    <mergeCell ref="I6:I7"/>
    <mergeCell ref="I8:I9"/>
    <mergeCell ref="F6:F7"/>
    <mergeCell ref="F8:F9"/>
    <mergeCell ref="H3:J3"/>
    <mergeCell ref="I12:I13"/>
    <mergeCell ref="I36:I37"/>
    <mergeCell ref="I38:I39"/>
    <mergeCell ref="H32:H33"/>
    <mergeCell ref="H34:H35"/>
    <mergeCell ref="H36:H37"/>
    <mergeCell ref="H38:H39"/>
    <mergeCell ref="B20:B21"/>
    <mergeCell ref="I14:I15"/>
    <mergeCell ref="I16:I17"/>
    <mergeCell ref="H12:H13"/>
    <mergeCell ref="H14:H15"/>
    <mergeCell ref="H16:H17"/>
    <mergeCell ref="H18:H19"/>
    <mergeCell ref="A23:E23"/>
    <mergeCell ref="A14:A15"/>
    <mergeCell ref="B14:B15"/>
    <mergeCell ref="A16:A17"/>
    <mergeCell ref="F12:F13"/>
    <mergeCell ref="F14:F15"/>
    <mergeCell ref="F16:F17"/>
    <mergeCell ref="H28:H29"/>
    <mergeCell ref="F18:F19"/>
    <mergeCell ref="F20:F21"/>
    <mergeCell ref="A10:A11"/>
    <mergeCell ref="B10:B11"/>
    <mergeCell ref="A68:E68"/>
    <mergeCell ref="A43:E43"/>
    <mergeCell ref="A55:E55"/>
    <mergeCell ref="A81:A82"/>
    <mergeCell ref="A83:A84"/>
    <mergeCell ref="A85:A86"/>
    <mergeCell ref="B16:B17"/>
    <mergeCell ref="A18:A19"/>
    <mergeCell ref="B18:B19"/>
    <mergeCell ref="A20:A21"/>
    <mergeCell ref="A28:A29"/>
    <mergeCell ref="B28:B29"/>
    <mergeCell ref="A75:A76"/>
    <mergeCell ref="B75:B76"/>
    <mergeCell ref="A77:A78"/>
    <mergeCell ref="B77:B78"/>
    <mergeCell ref="A12:A13"/>
    <mergeCell ref="B12:B13"/>
    <mergeCell ref="M75:M76"/>
    <mergeCell ref="A71:A72"/>
    <mergeCell ref="B71:B72"/>
    <mergeCell ref="H71:H72"/>
    <mergeCell ref="J71:J72"/>
    <mergeCell ref="L71:L72"/>
    <mergeCell ref="I71:I72"/>
    <mergeCell ref="M71:M72"/>
    <mergeCell ref="I75:I76"/>
    <mergeCell ref="L73:L74"/>
    <mergeCell ref="H75:H76"/>
    <mergeCell ref="J75:J76"/>
    <mergeCell ref="L75:L76"/>
    <mergeCell ref="K75:K76"/>
    <mergeCell ref="K71:K72"/>
    <mergeCell ref="K73:K74"/>
    <mergeCell ref="J73:J74"/>
    <mergeCell ref="I73:I74"/>
    <mergeCell ref="A73:A74"/>
    <mergeCell ref="B73:B74"/>
    <mergeCell ref="H73:H74"/>
    <mergeCell ref="M73:M74"/>
    <mergeCell ref="F71:F72"/>
    <mergeCell ref="F73:F74"/>
    <mergeCell ref="J64:J65"/>
    <mergeCell ref="J62:J63"/>
    <mergeCell ref="J60:J61"/>
    <mergeCell ref="J58:J59"/>
    <mergeCell ref="H57:J57"/>
    <mergeCell ref="J26:J29"/>
    <mergeCell ref="J30:J33"/>
    <mergeCell ref="J34:J37"/>
    <mergeCell ref="J38:J41"/>
    <mergeCell ref="J50:J51"/>
    <mergeCell ref="J48:J49"/>
    <mergeCell ref="J46:J47"/>
    <mergeCell ref="J52:J53"/>
    <mergeCell ref="H40:H41"/>
    <mergeCell ref="I40:I41"/>
    <mergeCell ref="H30:H31"/>
    <mergeCell ref="I30:I31"/>
    <mergeCell ref="I32:I33"/>
    <mergeCell ref="I34:I35"/>
    <mergeCell ref="I26:I27"/>
    <mergeCell ref="H26:H27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5"/>
  <sheetViews>
    <sheetView workbookViewId="0">
      <selection activeCell="I60" sqref="I60:I61"/>
    </sheetView>
  </sheetViews>
  <sheetFormatPr defaultColWidth="14.42578125" defaultRowHeight="12.75"/>
  <cols>
    <col min="1" max="1" width="6" style="3" customWidth="1"/>
    <col min="2" max="2" width="4.42578125" style="3" bestFit="1" customWidth="1"/>
    <col min="3" max="3" width="17.42578125" style="3" bestFit="1" customWidth="1"/>
    <col min="4" max="4" width="27.28515625" style="3" bestFit="1" customWidth="1"/>
    <col min="5" max="5" width="28.28515625" style="3" bestFit="1" customWidth="1"/>
    <col min="6" max="6" width="31.7109375" style="3" hidden="1" customWidth="1"/>
    <col min="7" max="7" width="4.7109375" style="3" customWidth="1"/>
    <col min="8" max="8" width="8.7109375" style="3" customWidth="1"/>
    <col min="9" max="9" width="31.7109375" style="3" bestFit="1" customWidth="1"/>
    <col min="10" max="20" width="8.7109375" style="3" customWidth="1"/>
    <col min="21" max="16384" width="14.42578125" style="3"/>
  </cols>
  <sheetData>
    <row r="1" spans="1:20">
      <c r="A1" s="5" t="s">
        <v>865</v>
      </c>
    </row>
    <row r="3" spans="1:20" ht="18">
      <c r="A3" s="537" t="s">
        <v>940</v>
      </c>
      <c r="B3" s="587"/>
      <c r="C3" s="587"/>
      <c r="D3" s="587"/>
      <c r="E3" s="587"/>
      <c r="F3" s="39"/>
      <c r="G3" s="5"/>
      <c r="H3" s="539" t="s">
        <v>721</v>
      </c>
      <c r="I3" s="539"/>
      <c r="J3" s="539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67" customFormat="1" ht="18.75" thickBot="1">
      <c r="A4" s="61"/>
      <c r="B4" s="65"/>
      <c r="C4" s="65"/>
      <c r="D4" s="65"/>
      <c r="E4" s="65"/>
      <c r="F4" s="39"/>
      <c r="G4" s="5"/>
      <c r="H4" s="68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148" t="s">
        <v>1</v>
      </c>
      <c r="B5" s="149" t="s">
        <v>526</v>
      </c>
      <c r="C5" s="149" t="s">
        <v>23</v>
      </c>
      <c r="D5" s="149" t="s">
        <v>24</v>
      </c>
      <c r="E5" s="150" t="s">
        <v>25</v>
      </c>
      <c r="F5" s="115" t="s">
        <v>941</v>
      </c>
      <c r="H5" s="597" t="s">
        <v>932</v>
      </c>
      <c r="I5" s="598"/>
      <c r="J5" s="599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630">
        <v>1</v>
      </c>
      <c r="B6" s="632">
        <v>1</v>
      </c>
      <c r="C6" s="151" t="s">
        <v>726</v>
      </c>
      <c r="D6" s="151" t="s">
        <v>136</v>
      </c>
      <c r="E6" s="152" t="s">
        <v>869</v>
      </c>
      <c r="F6" s="665" t="s">
        <v>128</v>
      </c>
      <c r="G6" s="67"/>
      <c r="H6" s="626">
        <v>1</v>
      </c>
      <c r="I6" s="624" t="str">
        <f>F18</f>
        <v>PK.MF.07_VPTĐ (Duy Anh - Nguyệt)</v>
      </c>
      <c r="J6" s="600">
        <v>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631"/>
      <c r="B7" s="633"/>
      <c r="C7" s="153" t="s">
        <v>732</v>
      </c>
      <c r="D7" s="153" t="s">
        <v>136</v>
      </c>
      <c r="E7" s="154" t="s">
        <v>733</v>
      </c>
      <c r="F7" s="660"/>
      <c r="G7" s="67"/>
      <c r="H7" s="627"/>
      <c r="I7" s="625"/>
      <c r="J7" s="601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630">
        <v>2</v>
      </c>
      <c r="B8" s="632">
        <v>8</v>
      </c>
      <c r="C8" s="151" t="s">
        <v>734</v>
      </c>
      <c r="D8" s="151" t="s">
        <v>215</v>
      </c>
      <c r="E8" s="152" t="s">
        <v>144</v>
      </c>
      <c r="F8" s="679" t="s">
        <v>942</v>
      </c>
      <c r="G8" s="67"/>
      <c r="H8" s="661">
        <v>2</v>
      </c>
      <c r="I8" s="663" t="str">
        <f>F16</f>
        <v>PK.MF.06_SLA (Trí - Kiên)</v>
      </c>
      <c r="J8" s="601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631"/>
      <c r="B9" s="633"/>
      <c r="C9" s="153" t="s">
        <v>740</v>
      </c>
      <c r="D9" s="153" t="s">
        <v>215</v>
      </c>
      <c r="E9" s="154" t="s">
        <v>181</v>
      </c>
      <c r="F9" s="679"/>
      <c r="G9" s="67"/>
      <c r="H9" s="662"/>
      <c r="I9" s="664"/>
      <c r="J9" s="602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630">
        <v>3</v>
      </c>
      <c r="B10" s="632">
        <v>1</v>
      </c>
      <c r="C10" s="151" t="s">
        <v>495</v>
      </c>
      <c r="D10" s="151" t="s">
        <v>136</v>
      </c>
      <c r="E10" s="152" t="s">
        <v>150</v>
      </c>
      <c r="F10" s="679" t="s">
        <v>741</v>
      </c>
      <c r="G10" s="67"/>
      <c r="H10" s="616">
        <v>3</v>
      </c>
      <c r="I10" s="618" t="str">
        <f>F20</f>
        <v>PK.MF.08_VTI (Niên - Nguyên)</v>
      </c>
      <c r="J10" s="603">
        <v>2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631"/>
      <c r="B11" s="633"/>
      <c r="C11" s="153" t="s">
        <v>745</v>
      </c>
      <c r="D11" s="153" t="s">
        <v>136</v>
      </c>
      <c r="E11" s="154" t="s">
        <v>150</v>
      </c>
      <c r="F11" s="679"/>
      <c r="G11" s="67"/>
      <c r="H11" s="617"/>
      <c r="I11" s="619"/>
      <c r="J11" s="604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630">
        <v>4</v>
      </c>
      <c r="B12" s="632">
        <v>5</v>
      </c>
      <c r="C12" s="151" t="s">
        <v>746</v>
      </c>
      <c r="D12" s="151" t="s">
        <v>658</v>
      </c>
      <c r="E12" s="152" t="s">
        <v>210</v>
      </c>
      <c r="F12" s="679" t="s">
        <v>747</v>
      </c>
      <c r="G12" s="67"/>
      <c r="H12" s="650">
        <v>4</v>
      </c>
      <c r="I12" s="620" t="str">
        <f>F14</f>
        <v>PK.MF05_SHA (Ly - Mai)</v>
      </c>
      <c r="J12" s="604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631"/>
      <c r="B13" s="633"/>
      <c r="C13" s="153" t="s">
        <v>748</v>
      </c>
      <c r="D13" s="153" t="s">
        <v>658</v>
      </c>
      <c r="E13" s="154" t="s">
        <v>46</v>
      </c>
      <c r="F13" s="679"/>
      <c r="G13" s="67"/>
      <c r="H13" s="651"/>
      <c r="I13" s="621"/>
      <c r="J13" s="60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630">
        <v>5</v>
      </c>
      <c r="B14" s="632">
        <v>6</v>
      </c>
      <c r="C14" s="151" t="s">
        <v>750</v>
      </c>
      <c r="D14" s="151" t="s">
        <v>643</v>
      </c>
      <c r="E14" s="152" t="s">
        <v>139</v>
      </c>
      <c r="F14" s="679" t="s">
        <v>751</v>
      </c>
      <c r="G14" s="67"/>
      <c r="H14" s="652">
        <v>5</v>
      </c>
      <c r="I14" s="622" t="str">
        <f>F6</f>
        <v>PK.MF.01_Cienco5 và DHE (Đức - Tuyết)</v>
      </c>
      <c r="J14" s="606">
        <v>3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631"/>
      <c r="B15" s="633"/>
      <c r="C15" s="153" t="s">
        <v>755</v>
      </c>
      <c r="D15" s="153" t="s">
        <v>643</v>
      </c>
      <c r="E15" s="154" t="s">
        <v>315</v>
      </c>
      <c r="F15" s="679"/>
      <c r="G15" s="67"/>
      <c r="H15" s="653"/>
      <c r="I15" s="623"/>
      <c r="J15" s="607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630">
        <v>6</v>
      </c>
      <c r="B16" s="632">
        <v>2</v>
      </c>
      <c r="C16" s="151" t="s">
        <v>369</v>
      </c>
      <c r="D16" s="151" t="s">
        <v>233</v>
      </c>
      <c r="E16" s="152" t="s">
        <v>187</v>
      </c>
      <c r="F16" s="660" t="s">
        <v>873</v>
      </c>
      <c r="G16" s="67"/>
      <c r="H16" s="654">
        <v>6</v>
      </c>
      <c r="I16" s="646" t="str">
        <f>F12</f>
        <v>PK.MF.04_NLE (Lộc - Giang)</v>
      </c>
      <c r="J16" s="607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631"/>
      <c r="B17" s="633"/>
      <c r="C17" s="153" t="s">
        <v>760</v>
      </c>
      <c r="D17" s="153" t="s">
        <v>233</v>
      </c>
      <c r="E17" s="154" t="s">
        <v>165</v>
      </c>
      <c r="F17" s="660"/>
      <c r="G17" s="67"/>
      <c r="H17" s="655"/>
      <c r="I17" s="647"/>
      <c r="J17" s="608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630">
        <v>7</v>
      </c>
      <c r="B18" s="632">
        <v>1</v>
      </c>
      <c r="C18" s="151" t="s">
        <v>762</v>
      </c>
      <c r="D18" s="151" t="s">
        <v>440</v>
      </c>
      <c r="E18" s="152" t="s">
        <v>763</v>
      </c>
      <c r="F18" s="660" t="s">
        <v>874</v>
      </c>
      <c r="G18" s="67"/>
      <c r="H18" s="656">
        <v>7</v>
      </c>
      <c r="I18" s="648" t="str">
        <f>F10</f>
        <v>PK.MF.03_Cienco5 và DHE (Hà - Hương)</v>
      </c>
      <c r="J18" s="609">
        <v>4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631"/>
      <c r="B19" s="633"/>
      <c r="C19" s="153" t="s">
        <v>769</v>
      </c>
      <c r="D19" s="153" t="s">
        <v>440</v>
      </c>
      <c r="E19" s="154" t="s">
        <v>770</v>
      </c>
      <c r="F19" s="660"/>
      <c r="G19" s="67"/>
      <c r="H19" s="657"/>
      <c r="I19" s="649"/>
      <c r="J19" s="610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644">
        <v>8</v>
      </c>
      <c r="B20" s="658">
        <v>5</v>
      </c>
      <c r="C20" s="71" t="s">
        <v>467</v>
      </c>
      <c r="D20" s="71" t="s">
        <v>465</v>
      </c>
      <c r="E20" s="72" t="s">
        <v>37</v>
      </c>
      <c r="F20" s="660" t="s">
        <v>875</v>
      </c>
      <c r="G20" s="67"/>
      <c r="H20" s="612">
        <v>8</v>
      </c>
      <c r="I20" s="614" t="str">
        <f>F8</f>
        <v>PK.MF.02_PQU (Linh - Lê)</v>
      </c>
      <c r="J20" s="610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3.5" thickBot="1">
      <c r="A21" s="645"/>
      <c r="B21" s="659"/>
      <c r="C21" s="73" t="s">
        <v>468</v>
      </c>
      <c r="D21" s="73" t="s">
        <v>465</v>
      </c>
      <c r="E21" s="74" t="s">
        <v>165</v>
      </c>
      <c r="F21" s="670"/>
      <c r="G21" s="67"/>
      <c r="H21" s="613"/>
      <c r="I21" s="615"/>
      <c r="J21" s="611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8">
      <c r="A23" s="539" t="s">
        <v>774</v>
      </c>
      <c r="B23" s="587"/>
      <c r="C23" s="587"/>
      <c r="D23" s="587"/>
      <c r="E23" s="587"/>
      <c r="F23" s="5"/>
      <c r="G23" s="5"/>
      <c r="H23" s="539" t="s">
        <v>774</v>
      </c>
      <c r="I23" s="539"/>
      <c r="J23" s="539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s="67" customFormat="1" ht="18.75" thickBot="1">
      <c r="A24" s="63"/>
      <c r="B24" s="65"/>
      <c r="C24" s="65"/>
      <c r="D24" s="65"/>
      <c r="E24" s="65"/>
      <c r="F24" s="5"/>
      <c r="G24" s="5"/>
      <c r="H24" s="6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148" t="s">
        <v>1</v>
      </c>
      <c r="B25" s="149" t="s">
        <v>526</v>
      </c>
      <c r="C25" s="149" t="s">
        <v>23</v>
      </c>
      <c r="D25" s="149" t="s">
        <v>24</v>
      </c>
      <c r="E25" s="150" t="s">
        <v>25</v>
      </c>
      <c r="F25" s="115" t="s">
        <v>943</v>
      </c>
      <c r="G25" s="5"/>
      <c r="H25" s="597" t="s">
        <v>932</v>
      </c>
      <c r="I25" s="598"/>
      <c r="J25" s="599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630">
        <v>1</v>
      </c>
      <c r="B26" s="632">
        <v>1</v>
      </c>
      <c r="C26" s="151" t="s">
        <v>776</v>
      </c>
      <c r="D26" s="151" t="s">
        <v>574</v>
      </c>
      <c r="E26" s="152" t="s">
        <v>165</v>
      </c>
      <c r="F26" s="665" t="s">
        <v>777</v>
      </c>
      <c r="G26" s="5"/>
      <c r="H26" s="626">
        <v>1</v>
      </c>
      <c r="I26" s="624" t="str">
        <f>F28</f>
        <v>PK.2F.02_Cienco5 và DHE (Tuyết - Hoài)</v>
      </c>
      <c r="J26" s="600">
        <v>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631"/>
      <c r="B27" s="633"/>
      <c r="C27" s="153" t="s">
        <v>779</v>
      </c>
      <c r="D27" s="153" t="s">
        <v>574</v>
      </c>
      <c r="E27" s="154" t="s">
        <v>231</v>
      </c>
      <c r="F27" s="660"/>
      <c r="G27" s="161"/>
      <c r="H27" s="627"/>
      <c r="I27" s="625"/>
      <c r="J27" s="601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630">
        <v>2</v>
      </c>
      <c r="B28" s="632">
        <v>1</v>
      </c>
      <c r="C28" s="151" t="s">
        <v>726</v>
      </c>
      <c r="D28" s="151" t="s">
        <v>136</v>
      </c>
      <c r="E28" s="152" t="s">
        <v>869</v>
      </c>
      <c r="F28" s="679" t="s">
        <v>783</v>
      </c>
      <c r="H28" s="661">
        <v>2</v>
      </c>
      <c r="I28" s="663" t="str">
        <f>F34</f>
        <v>PK.2F.05_LCH (Lập - Bình)</v>
      </c>
      <c r="J28" s="601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631"/>
      <c r="B29" s="633"/>
      <c r="C29" s="153" t="s">
        <v>785</v>
      </c>
      <c r="D29" s="153" t="s">
        <v>136</v>
      </c>
      <c r="E29" s="154" t="s">
        <v>869</v>
      </c>
      <c r="F29" s="679"/>
      <c r="H29" s="662"/>
      <c r="I29" s="664"/>
      <c r="J29" s="602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630">
        <v>3</v>
      </c>
      <c r="B30" s="632">
        <v>1</v>
      </c>
      <c r="C30" s="151" t="s">
        <v>495</v>
      </c>
      <c r="D30" s="151" t="s">
        <v>136</v>
      </c>
      <c r="E30" s="152" t="s">
        <v>869</v>
      </c>
      <c r="F30" s="679" t="s">
        <v>787</v>
      </c>
      <c r="H30" s="616">
        <v>3</v>
      </c>
      <c r="I30" s="618" t="str">
        <f>F32</f>
        <v>PK.2F.04_Cienco5 và DHE (Nhung - Vân)</v>
      </c>
      <c r="J30" s="603">
        <v>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631"/>
      <c r="B31" s="633"/>
      <c r="C31" s="153" t="s">
        <v>789</v>
      </c>
      <c r="D31" s="153" t="s">
        <v>136</v>
      </c>
      <c r="E31" s="154" t="s">
        <v>869</v>
      </c>
      <c r="F31" s="679"/>
      <c r="H31" s="617"/>
      <c r="I31" s="619"/>
      <c r="J31" s="604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630">
        <v>4</v>
      </c>
      <c r="B32" s="632">
        <v>1</v>
      </c>
      <c r="C32" s="151" t="s">
        <v>792</v>
      </c>
      <c r="D32" s="151" t="s">
        <v>136</v>
      </c>
      <c r="E32" s="152" t="s">
        <v>869</v>
      </c>
      <c r="F32" s="679" t="s">
        <v>793</v>
      </c>
      <c r="H32" s="650">
        <v>4</v>
      </c>
      <c r="I32" s="620" t="str">
        <f>F26</f>
        <v>PK.2F.01_BGI (Thảo - Hạnh)</v>
      </c>
      <c r="J32" s="604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631"/>
      <c r="B33" s="633"/>
      <c r="C33" s="153" t="s">
        <v>494</v>
      </c>
      <c r="D33" s="153" t="s">
        <v>136</v>
      </c>
      <c r="E33" s="154" t="s">
        <v>869</v>
      </c>
      <c r="F33" s="679"/>
      <c r="H33" s="651"/>
      <c r="I33" s="621"/>
      <c r="J33" s="60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630">
        <v>5</v>
      </c>
      <c r="B34" s="632">
        <v>2</v>
      </c>
      <c r="C34" s="151" t="s">
        <v>796</v>
      </c>
      <c r="D34" s="151" t="s">
        <v>562</v>
      </c>
      <c r="E34" s="152" t="s">
        <v>165</v>
      </c>
      <c r="F34" s="679" t="s">
        <v>797</v>
      </c>
      <c r="H34" s="652">
        <v>5</v>
      </c>
      <c r="I34" s="622" t="str">
        <f>F30</f>
        <v>PK.2F.03_Cienco5 và DHE (Hương - Xuốt)</v>
      </c>
      <c r="J34" s="606">
        <v>3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631"/>
      <c r="B35" s="633"/>
      <c r="C35" s="153" t="s">
        <v>798</v>
      </c>
      <c r="D35" s="153" t="s">
        <v>562</v>
      </c>
      <c r="E35" s="154" t="s">
        <v>245</v>
      </c>
      <c r="F35" s="679"/>
      <c r="H35" s="653"/>
      <c r="I35" s="623"/>
      <c r="J35" s="607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630">
        <v>6</v>
      </c>
      <c r="B36" s="632">
        <v>6</v>
      </c>
      <c r="C36" s="151" t="s">
        <v>800</v>
      </c>
      <c r="D36" s="151" t="s">
        <v>565</v>
      </c>
      <c r="E36" s="152" t="s">
        <v>133</v>
      </c>
      <c r="F36" s="660" t="s">
        <v>802</v>
      </c>
      <c r="H36" s="654">
        <v>6</v>
      </c>
      <c r="I36" s="646" t="str">
        <f>F38</f>
        <v>PK.2F.07_PDO (Nguyệt - Tình)</v>
      </c>
      <c r="J36" s="607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631"/>
      <c r="B37" s="633"/>
      <c r="C37" s="153" t="s">
        <v>805</v>
      </c>
      <c r="D37" s="153" t="s">
        <v>565</v>
      </c>
      <c r="E37" s="154" t="s">
        <v>165</v>
      </c>
      <c r="F37" s="660"/>
      <c r="H37" s="655"/>
      <c r="I37" s="647"/>
      <c r="J37" s="608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630">
        <v>7</v>
      </c>
      <c r="B38" s="632">
        <v>5</v>
      </c>
      <c r="C38" s="151" t="s">
        <v>423</v>
      </c>
      <c r="D38" s="151" t="s">
        <v>36</v>
      </c>
      <c r="E38" s="152" t="s">
        <v>248</v>
      </c>
      <c r="F38" s="660" t="s">
        <v>806</v>
      </c>
      <c r="H38" s="656">
        <v>7</v>
      </c>
      <c r="I38" s="648" t="str">
        <f>F40</f>
        <v>PK.2F.08-VPTĐ (Diệp Anh - Nguyệt)</v>
      </c>
      <c r="J38" s="609">
        <v>4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631"/>
      <c r="B39" s="633"/>
      <c r="C39" s="153" t="s">
        <v>809</v>
      </c>
      <c r="D39" s="153" t="s">
        <v>36</v>
      </c>
      <c r="E39" s="154" t="s">
        <v>266</v>
      </c>
      <c r="F39" s="660"/>
      <c r="H39" s="657"/>
      <c r="I39" s="649"/>
      <c r="J39" s="610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644">
        <v>8</v>
      </c>
      <c r="B40" s="658">
        <v>1</v>
      </c>
      <c r="C40" s="71" t="s">
        <v>810</v>
      </c>
      <c r="D40" s="71" t="s">
        <v>440</v>
      </c>
      <c r="E40" s="72" t="s">
        <v>811</v>
      </c>
      <c r="F40" s="660" t="s">
        <v>812</v>
      </c>
      <c r="H40" s="612">
        <v>8</v>
      </c>
      <c r="I40" s="614" t="str">
        <f>F36</f>
        <v>PK.2F.06_LDN (An - Hòa)</v>
      </c>
      <c r="J40" s="610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3.5" thickBot="1">
      <c r="A41" s="645"/>
      <c r="B41" s="659"/>
      <c r="C41" s="73" t="s">
        <v>769</v>
      </c>
      <c r="D41" s="73" t="s">
        <v>440</v>
      </c>
      <c r="E41" s="74" t="s">
        <v>770</v>
      </c>
      <c r="F41" s="670"/>
      <c r="H41" s="613"/>
      <c r="I41" s="615"/>
      <c r="J41" s="611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8">
      <c r="A43" s="539" t="s">
        <v>815</v>
      </c>
      <c r="B43" s="587"/>
      <c r="C43" s="587"/>
      <c r="D43" s="587"/>
      <c r="E43" s="587"/>
      <c r="F43" s="5"/>
      <c r="H43" s="588" t="s">
        <v>815</v>
      </c>
      <c r="I43" s="588"/>
      <c r="J43" s="588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s="67" customFormat="1" ht="18.75" thickBot="1">
      <c r="A44" s="63"/>
      <c r="B44" s="65"/>
      <c r="C44" s="65"/>
      <c r="D44" s="65"/>
      <c r="E44" s="65"/>
      <c r="F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148" t="s">
        <v>1</v>
      </c>
      <c r="B45" s="149" t="s">
        <v>526</v>
      </c>
      <c r="C45" s="149" t="s">
        <v>23</v>
      </c>
      <c r="D45" s="149" t="s">
        <v>24</v>
      </c>
      <c r="E45" s="150" t="s">
        <v>25</v>
      </c>
      <c r="F45" s="115" t="s">
        <v>944</v>
      </c>
      <c r="G45" s="5"/>
      <c r="H45" s="597" t="s">
        <v>932</v>
      </c>
      <c r="I45" s="598"/>
      <c r="J45" s="599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630">
        <v>1</v>
      </c>
      <c r="B46" s="632">
        <v>4</v>
      </c>
      <c r="C46" s="151" t="s">
        <v>817</v>
      </c>
      <c r="D46" s="151" t="s">
        <v>818</v>
      </c>
      <c r="E46" s="152" t="s">
        <v>696</v>
      </c>
      <c r="F46" s="665" t="s">
        <v>819</v>
      </c>
      <c r="G46" s="5"/>
      <c r="H46" s="626">
        <v>1</v>
      </c>
      <c r="I46" s="624" t="str">
        <f>F48</f>
        <v>PK.2M.02_CCHN (Linh - Hanh)</v>
      </c>
      <c r="J46" s="600">
        <v>1</v>
      </c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631"/>
      <c r="B47" s="633"/>
      <c r="C47" s="153" t="s">
        <v>821</v>
      </c>
      <c r="D47" s="153" t="s">
        <v>818</v>
      </c>
      <c r="E47" s="154" t="s">
        <v>822</v>
      </c>
      <c r="F47" s="660"/>
      <c r="H47" s="627"/>
      <c r="I47" s="625"/>
      <c r="J47" s="601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630">
        <v>2</v>
      </c>
      <c r="B48" s="632">
        <v>1</v>
      </c>
      <c r="C48" s="151" t="s">
        <v>313</v>
      </c>
      <c r="D48" s="151" t="s">
        <v>477</v>
      </c>
      <c r="E48" s="152" t="s">
        <v>707</v>
      </c>
      <c r="F48" s="679" t="s">
        <v>824</v>
      </c>
      <c r="H48" s="661">
        <v>2</v>
      </c>
      <c r="I48" s="663" t="str">
        <f>F52</f>
        <v>PK.2M.04_HAN (Việt - Tấn)</v>
      </c>
      <c r="J48" s="601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631"/>
      <c r="B49" s="633"/>
      <c r="C49" s="153" t="s">
        <v>705</v>
      </c>
      <c r="D49" s="153" t="s">
        <v>477</v>
      </c>
      <c r="E49" s="154" t="s">
        <v>706</v>
      </c>
      <c r="F49" s="679"/>
      <c r="H49" s="662"/>
      <c r="I49" s="664"/>
      <c r="J49" s="602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630">
        <v>3</v>
      </c>
      <c r="B50" s="632">
        <v>1</v>
      </c>
      <c r="C50" s="151" t="s">
        <v>828</v>
      </c>
      <c r="D50" s="151" t="s">
        <v>709</v>
      </c>
      <c r="E50" s="152" t="s">
        <v>337</v>
      </c>
      <c r="F50" s="679" t="s">
        <v>829</v>
      </c>
      <c r="H50" s="616">
        <v>3</v>
      </c>
      <c r="I50" s="618" t="str">
        <f>F56</f>
        <v>PK.2M.06_PTH (Long - Đồng)</v>
      </c>
      <c r="J50" s="603">
        <v>2</v>
      </c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631"/>
      <c r="B51" s="633"/>
      <c r="C51" s="153" t="s">
        <v>831</v>
      </c>
      <c r="D51" s="153" t="s">
        <v>709</v>
      </c>
      <c r="E51" s="154" t="s">
        <v>832</v>
      </c>
      <c r="F51" s="679"/>
      <c r="H51" s="617"/>
      <c r="I51" s="619"/>
      <c r="J51" s="604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630">
        <v>4</v>
      </c>
      <c r="B52" s="632">
        <v>6</v>
      </c>
      <c r="C52" s="151" t="s">
        <v>834</v>
      </c>
      <c r="D52" s="151" t="s">
        <v>263</v>
      </c>
      <c r="E52" s="152" t="s">
        <v>165</v>
      </c>
      <c r="F52" s="679" t="s">
        <v>835</v>
      </c>
      <c r="H52" s="650">
        <v>4</v>
      </c>
      <c r="I52" s="620" t="str">
        <f>F58</f>
        <v>PK.2M.07_SGO (Hùng - Minh)</v>
      </c>
      <c r="J52" s="604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631"/>
      <c r="B53" s="633"/>
      <c r="C53" s="153" t="s">
        <v>837</v>
      </c>
      <c r="D53" s="153" t="s">
        <v>263</v>
      </c>
      <c r="E53" s="154" t="s">
        <v>368</v>
      </c>
      <c r="F53" s="679"/>
      <c r="H53" s="651"/>
      <c r="I53" s="621"/>
      <c r="J53" s="60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630">
        <v>5</v>
      </c>
      <c r="B54" s="632">
        <v>2</v>
      </c>
      <c r="C54" s="151" t="s">
        <v>225</v>
      </c>
      <c r="D54" s="151" t="s">
        <v>224</v>
      </c>
      <c r="E54" s="152" t="s">
        <v>226</v>
      </c>
      <c r="F54" s="679" t="s">
        <v>839</v>
      </c>
      <c r="H54" s="652">
        <v>5</v>
      </c>
      <c r="I54" s="622" t="str">
        <f>F46</f>
        <v>PK.2M.01_PDI (Kỳ - Tư)</v>
      </c>
      <c r="J54" s="606">
        <v>3</v>
      </c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631"/>
      <c r="B55" s="633"/>
      <c r="C55" s="153" t="s">
        <v>840</v>
      </c>
      <c r="D55" s="153" t="s">
        <v>224</v>
      </c>
      <c r="E55" s="154" t="s">
        <v>123</v>
      </c>
      <c r="F55" s="679"/>
      <c r="H55" s="653"/>
      <c r="I55" s="623"/>
      <c r="J55" s="607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630">
        <v>6</v>
      </c>
      <c r="B56" s="632">
        <v>1</v>
      </c>
      <c r="C56" s="151" t="s">
        <v>842</v>
      </c>
      <c r="D56" s="151" t="s">
        <v>843</v>
      </c>
      <c r="E56" s="152" t="s">
        <v>55</v>
      </c>
      <c r="F56" s="660" t="s">
        <v>844</v>
      </c>
      <c r="H56" s="654">
        <v>6</v>
      </c>
      <c r="I56" s="646" t="str">
        <f>F50</f>
        <v>PK.2M.03_CHTH (Toàn - Chính)</v>
      </c>
      <c r="J56" s="607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631"/>
      <c r="B57" s="633"/>
      <c r="C57" s="153" t="s">
        <v>847</v>
      </c>
      <c r="D57" s="153" t="s">
        <v>843</v>
      </c>
      <c r="E57" s="154" t="s">
        <v>195</v>
      </c>
      <c r="F57" s="660"/>
      <c r="H57" s="655"/>
      <c r="I57" s="647"/>
      <c r="J57" s="608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630">
        <v>7</v>
      </c>
      <c r="B58" s="632">
        <v>8</v>
      </c>
      <c r="C58" s="151" t="s">
        <v>850</v>
      </c>
      <c r="D58" s="151" t="s">
        <v>509</v>
      </c>
      <c r="E58" s="152" t="s">
        <v>210</v>
      </c>
      <c r="F58" s="660" t="s">
        <v>851</v>
      </c>
      <c r="H58" s="656">
        <v>7</v>
      </c>
      <c r="I58" s="648" t="str">
        <f>F60</f>
        <v>PK.2M.08_VPTĐ (Nghĩa - Duy Anh)</v>
      </c>
      <c r="J58" s="609">
        <v>4</v>
      </c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631"/>
      <c r="B59" s="633"/>
      <c r="C59" s="153" t="s">
        <v>853</v>
      </c>
      <c r="D59" s="153" t="s">
        <v>509</v>
      </c>
      <c r="E59" s="154" t="s">
        <v>429</v>
      </c>
      <c r="F59" s="660"/>
      <c r="H59" s="657"/>
      <c r="I59" s="649"/>
      <c r="J59" s="610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644">
        <v>8</v>
      </c>
      <c r="B60" s="658">
        <v>1</v>
      </c>
      <c r="C60" s="71" t="s">
        <v>855</v>
      </c>
      <c r="D60" s="71" t="s">
        <v>440</v>
      </c>
      <c r="E60" s="72" t="s">
        <v>856</v>
      </c>
      <c r="F60" s="660" t="s">
        <v>857</v>
      </c>
      <c r="H60" s="612">
        <v>8</v>
      </c>
      <c r="I60" s="614" t="str">
        <f>F54</f>
        <v>PK.2M.05_MCH (Vững - Quý)</v>
      </c>
      <c r="J60" s="610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3.5" thickBot="1">
      <c r="A61" s="645"/>
      <c r="B61" s="659"/>
      <c r="C61" s="73" t="s">
        <v>762</v>
      </c>
      <c r="D61" s="73" t="s">
        <v>440</v>
      </c>
      <c r="E61" s="74" t="s">
        <v>763</v>
      </c>
      <c r="F61" s="670"/>
      <c r="H61" s="613"/>
      <c r="I61" s="615"/>
      <c r="J61" s="611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spans="1:20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20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2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spans="1:20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spans="1:20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spans="1:20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spans="1:20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spans="1:20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spans="1:2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spans="1:20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spans="1:20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spans="1:20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spans="1:20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spans="1:2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spans="1:20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spans="1:20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spans="1:20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spans="1:20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spans="1:20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spans="1:20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spans="1:20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spans="1:20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spans="1:20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spans="1:20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spans="1:20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spans="1:2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spans="1:20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spans="1:20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spans="1:20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spans="1:20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1:20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spans="1:20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spans="1:20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spans="1:2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spans="1:20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spans="1:20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spans="1:20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spans="1:20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spans="1:20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spans="1:20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spans="1:20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spans="1:20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spans="1:2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spans="1:20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spans="1:20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spans="1:20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spans="1:20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spans="1:20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spans="1: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spans="1:20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spans="1:20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spans="1:20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spans="1:20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spans="1:20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spans="1:20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spans="1:20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spans="1:20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spans="1:2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spans="1:20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spans="1:20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spans="1:20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spans="1:20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spans="1:2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spans="1:20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spans="1:20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spans="1:20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spans="1:20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spans="1:20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spans="1:20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spans="1:20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spans="1:2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spans="1:20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spans="1:20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spans="1:20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spans="1:20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spans="1:20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spans="1:20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spans="1:2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spans="1:20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spans="1:20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spans="1:20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spans="1:20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spans="1:20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spans="1:20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spans="1:2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spans="1:2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spans="1:2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spans="1:2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spans="1:20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spans="1:20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spans="1:20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spans="1:20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spans="1:20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spans="1:20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spans="1:2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spans="1:20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spans="1:20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spans="1:20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spans="1:20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spans="1:20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spans="1:20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spans="1:20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spans="1:20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spans="1:2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spans="1:20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spans="1:20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spans="1:20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 spans="1:20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 spans="1:20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 spans="1:20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 spans="1:20"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 spans="1:20"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</sheetData>
  <mergeCells count="141">
    <mergeCell ref="F46:F47"/>
    <mergeCell ref="F48:F49"/>
    <mergeCell ref="F50:F51"/>
    <mergeCell ref="F52:F53"/>
    <mergeCell ref="F54:F55"/>
    <mergeCell ref="F56:F57"/>
    <mergeCell ref="F58:F59"/>
    <mergeCell ref="F60:F61"/>
    <mergeCell ref="H45:J45"/>
    <mergeCell ref="H46:H47"/>
    <mergeCell ref="I46:I47"/>
    <mergeCell ref="J50:J53"/>
    <mergeCell ref="J54:J57"/>
    <mergeCell ref="J58:J61"/>
    <mergeCell ref="J46:J49"/>
    <mergeCell ref="I48:I49"/>
    <mergeCell ref="I50:I51"/>
    <mergeCell ref="I52:I53"/>
    <mergeCell ref="I54:I55"/>
    <mergeCell ref="I56:I57"/>
    <mergeCell ref="I58:I59"/>
    <mergeCell ref="I60:I61"/>
    <mergeCell ref="H56:H57"/>
    <mergeCell ref="H58:H59"/>
    <mergeCell ref="F40:F41"/>
    <mergeCell ref="I36:I37"/>
    <mergeCell ref="H25:J25"/>
    <mergeCell ref="H26:H27"/>
    <mergeCell ref="I26:I27"/>
    <mergeCell ref="J26:J29"/>
    <mergeCell ref="J30:J33"/>
    <mergeCell ref="J34:J37"/>
    <mergeCell ref="J38:J41"/>
    <mergeCell ref="F30:F31"/>
    <mergeCell ref="F32:F33"/>
    <mergeCell ref="H30:H31"/>
    <mergeCell ref="H32:H33"/>
    <mergeCell ref="H34:H35"/>
    <mergeCell ref="H38:H39"/>
    <mergeCell ref="I38:I39"/>
    <mergeCell ref="I40:I41"/>
    <mergeCell ref="F26:F27"/>
    <mergeCell ref="F28:F29"/>
    <mergeCell ref="I30:I31"/>
    <mergeCell ref="I32:I33"/>
    <mergeCell ref="A56:A57"/>
    <mergeCell ref="A54:A55"/>
    <mergeCell ref="B54:B55"/>
    <mergeCell ref="H23:J23"/>
    <mergeCell ref="F10:F11"/>
    <mergeCell ref="F12:F13"/>
    <mergeCell ref="F14:F15"/>
    <mergeCell ref="F16:F17"/>
    <mergeCell ref="F18:F19"/>
    <mergeCell ref="F20:F21"/>
    <mergeCell ref="H28:H29"/>
    <mergeCell ref="H16:H17"/>
    <mergeCell ref="I10:I11"/>
    <mergeCell ref="I12:I13"/>
    <mergeCell ref="H18:H19"/>
    <mergeCell ref="J10:J13"/>
    <mergeCell ref="J14:J17"/>
    <mergeCell ref="H10:H11"/>
    <mergeCell ref="H12:H13"/>
    <mergeCell ref="H14:H15"/>
    <mergeCell ref="I28:I29"/>
    <mergeCell ref="F34:F35"/>
    <mergeCell ref="F36:F37"/>
    <mergeCell ref="F38:F39"/>
    <mergeCell ref="B12:B13"/>
    <mergeCell ref="A14:A15"/>
    <mergeCell ref="B14:B15"/>
    <mergeCell ref="B16:B17"/>
    <mergeCell ref="A16:A17"/>
    <mergeCell ref="A18:A19"/>
    <mergeCell ref="B18:B19"/>
    <mergeCell ref="B58:B59"/>
    <mergeCell ref="B60:B61"/>
    <mergeCell ref="A30:A31"/>
    <mergeCell ref="B30:B31"/>
    <mergeCell ref="A32:A33"/>
    <mergeCell ref="B32:B33"/>
    <mergeCell ref="A34:A35"/>
    <mergeCell ref="B34:B35"/>
    <mergeCell ref="B36:B37"/>
    <mergeCell ref="A58:A59"/>
    <mergeCell ref="A60:A61"/>
    <mergeCell ref="A36:A37"/>
    <mergeCell ref="A38:A39"/>
    <mergeCell ref="A40:A41"/>
    <mergeCell ref="A46:A47"/>
    <mergeCell ref="A48:A49"/>
    <mergeCell ref="A52:A53"/>
    <mergeCell ref="I34:I35"/>
    <mergeCell ref="H20:H21"/>
    <mergeCell ref="I20:I21"/>
    <mergeCell ref="I18:I19"/>
    <mergeCell ref="I16:I17"/>
    <mergeCell ref="I14:I15"/>
    <mergeCell ref="J18:J21"/>
    <mergeCell ref="J6:J9"/>
    <mergeCell ref="A3:E3"/>
    <mergeCell ref="A6:A7"/>
    <mergeCell ref="B6:B7"/>
    <mergeCell ref="A8:A9"/>
    <mergeCell ref="B8:B9"/>
    <mergeCell ref="H6:H7"/>
    <mergeCell ref="H8:H9"/>
    <mergeCell ref="F6:F7"/>
    <mergeCell ref="F8:F9"/>
    <mergeCell ref="H5:J5"/>
    <mergeCell ref="H3:J3"/>
    <mergeCell ref="I8:I9"/>
    <mergeCell ref="I6:I7"/>
    <mergeCell ref="A10:A11"/>
    <mergeCell ref="B10:B11"/>
    <mergeCell ref="A12:A13"/>
    <mergeCell ref="H60:H61"/>
    <mergeCell ref="H52:H53"/>
    <mergeCell ref="H54:H55"/>
    <mergeCell ref="A20:A21"/>
    <mergeCell ref="A26:A27"/>
    <mergeCell ref="B26:B27"/>
    <mergeCell ref="A28:A29"/>
    <mergeCell ref="B28:B29"/>
    <mergeCell ref="H36:H37"/>
    <mergeCell ref="H48:H49"/>
    <mergeCell ref="H50:H51"/>
    <mergeCell ref="B20:B21"/>
    <mergeCell ref="A23:E23"/>
    <mergeCell ref="H40:H41"/>
    <mergeCell ref="A43:E43"/>
    <mergeCell ref="A50:A51"/>
    <mergeCell ref="B50:B51"/>
    <mergeCell ref="B38:B39"/>
    <mergeCell ref="B40:B41"/>
    <mergeCell ref="B46:B47"/>
    <mergeCell ref="B48:B49"/>
    <mergeCell ref="H43:J43"/>
    <mergeCell ref="B52:B53"/>
    <mergeCell ref="B56:B5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Thăm</vt:lpstr>
      <vt:lpstr>Thể lệ</vt:lpstr>
      <vt:lpstr>A-Rút gọn</vt:lpstr>
      <vt:lpstr>A-Chi tiết</vt:lpstr>
      <vt:lpstr>Full name</vt:lpstr>
      <vt:lpstr>Bốc thăm</vt:lpstr>
      <vt:lpstr>Bang ma</vt:lpstr>
      <vt:lpstr>B.Đ nam</vt:lpstr>
      <vt:lpstr>B.Đ nữ</vt:lpstr>
      <vt:lpstr>Kéo co</vt:lpstr>
      <vt:lpstr>Bóng bàn</vt:lpstr>
      <vt:lpstr>BTD Nam</vt:lpstr>
      <vt:lpstr>BE Nam</vt:lpstr>
      <vt:lpstr>Bơi Nữ</vt:lpstr>
      <vt:lpstr>Cầu lông</vt:lpstr>
      <vt:lpstr>Pickle ball</vt:lpstr>
      <vt:lpstr>'Bốc thăm'!Print_Titles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DSWM</cp:lastModifiedBy>
  <dcterms:created xsi:type="dcterms:W3CDTF">2026-10-03T06:13:05Z</dcterms:created>
  <dcterms:modified xsi:type="dcterms:W3CDTF">2026-10-12T04:40:42Z</dcterms:modified>
</cp:coreProperties>
</file>